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340" documentId="11_A7A5F9C338EEA71E36ED0076731F06A66EDA044D" xr6:coauthVersionLast="47" xr6:coauthVersionMax="47" xr10:uidLastSave="{E86817A5-A0FE-4770-859E-CA10C544202F}"/>
  <bookViews>
    <workbookView xWindow="-108" yWindow="-108" windowWidth="23256" windowHeight="12456" firstSheet="4" activeTab="10" xr2:uid="{00000000-000D-0000-FFFF-FFFF00000000}"/>
  </bookViews>
  <sheets>
    <sheet name="Theory" sheetId="1" r:id="rId1"/>
    <sheet name="Pizza Price Prediction" sheetId="2" r:id="rId2"/>
    <sheet name="Lemonade Sold Prediction" sheetId="3" r:id="rId3"/>
    <sheet name="House Price Prediction" sheetId="4" r:id="rId4"/>
    <sheet name="Linear Regression" sheetId="5" r:id="rId5"/>
    <sheet name="descriptive " sheetId="8" r:id="rId6"/>
    <sheet name="regression" sheetId="10" r:id="rId7"/>
    <sheet name="pivot" sheetId="11" r:id="rId8"/>
    <sheet name="ANOVA" sheetId="13" r:id="rId9"/>
    <sheet name="histogram" sheetId="14" r:id="rId10"/>
    <sheet name="Data Analysis Feature" sheetId="6" r:id="rId11"/>
  </sheets>
  <calcPr calcId="191029"/>
  <pivotCaches>
    <pivotCache cacheId="6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5" l="1"/>
  <c r="C19" i="5" a="1"/>
  <c r="C19" i="5" s="1"/>
  <c r="D1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" i="5"/>
  <c r="D12" i="5"/>
  <c r="D10" i="5"/>
  <c r="D8" i="5" s="1"/>
  <c r="C5" i="4"/>
  <c r="C6" i="4"/>
  <c r="C7" i="4"/>
  <c r="C8" i="4"/>
  <c r="C9" i="4"/>
  <c r="C10" i="4"/>
  <c r="C11" i="4"/>
  <c r="C4" i="4"/>
  <c r="F13" i="4"/>
  <c r="F12" i="4"/>
  <c r="L4" i="4"/>
  <c r="K5" i="4"/>
  <c r="K6" i="4"/>
  <c r="K7" i="4"/>
  <c r="K4" i="4"/>
  <c r="J4" i="4"/>
  <c r="I5" i="4"/>
  <c r="I6" i="4"/>
  <c r="I7" i="4"/>
  <c r="I4" i="4"/>
  <c r="H5" i="4"/>
  <c r="H6" i="4"/>
  <c r="H7" i="4"/>
  <c r="H4" i="4"/>
  <c r="G5" i="4"/>
  <c r="G6" i="4"/>
  <c r="G7" i="4"/>
  <c r="G4" i="4"/>
  <c r="F4" i="4" a="1"/>
  <c r="F4" i="4" s="1"/>
  <c r="E4" i="4"/>
  <c r="C5" i="3"/>
  <c r="C6" i="3"/>
  <c r="C7" i="3"/>
  <c r="C8" i="3"/>
  <c r="C9" i="3"/>
  <c r="C10" i="3"/>
  <c r="C11" i="3"/>
  <c r="C4" i="3"/>
  <c r="F13" i="3"/>
  <c r="F12" i="3"/>
  <c r="L4" i="3"/>
  <c r="K5" i="3"/>
  <c r="K6" i="3"/>
  <c r="K7" i="3"/>
  <c r="K4" i="3"/>
  <c r="J4" i="3"/>
  <c r="I5" i="3"/>
  <c r="I6" i="3"/>
  <c r="I7" i="3"/>
  <c r="I4" i="3"/>
  <c r="H5" i="3"/>
  <c r="H6" i="3"/>
  <c r="H7" i="3"/>
  <c r="H4" i="3"/>
  <c r="G5" i="3"/>
  <c r="G6" i="3"/>
  <c r="G7" i="3"/>
  <c r="G4" i="3"/>
  <c r="F4" i="3"/>
  <c r="E4" i="3"/>
  <c r="C5" i="2"/>
  <c r="C6" i="2"/>
  <c r="C7" i="2"/>
  <c r="C8" i="2"/>
  <c r="C9" i="2"/>
  <c r="C10" i="2"/>
  <c r="C11" i="2"/>
  <c r="C12" i="2"/>
  <c r="C4" i="2"/>
  <c r="F13" i="2"/>
  <c r="F12" i="2"/>
  <c r="L4" i="2"/>
  <c r="K5" i="2"/>
  <c r="K6" i="2"/>
  <c r="K7" i="2"/>
  <c r="K4" i="2"/>
  <c r="J4" i="2"/>
  <c r="I5" i="2"/>
  <c r="I6" i="2"/>
  <c r="I7" i="2"/>
  <c r="I4" i="2"/>
  <c r="H5" i="2"/>
  <c r="H6" i="2"/>
  <c r="H7" i="2"/>
  <c r="H4" i="2"/>
  <c r="G5" i="2"/>
  <c r="G6" i="2"/>
  <c r="G7" i="2"/>
  <c r="G4" i="2"/>
  <c r="F4" i="2" a="1"/>
  <c r="F4" i="2" s="1"/>
  <c r="E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<sst xmlns="http://schemas.openxmlformats.org/spreadsheetml/2006/main" count="294" uniqueCount="164">
  <si>
    <r>
      <rPr>
        <b/>
        <sz val="12"/>
        <color rgb="FF000000"/>
        <rFont val="Arial"/>
      </rPr>
      <t>Linear Regression</t>
    </r>
    <r>
      <rPr>
        <sz val="12"/>
        <color rgb="FF000000"/>
        <rFont val="Arial"/>
      </rPr>
      <t xml:space="preserve"> is a </t>
    </r>
    <r>
      <rPr>
        <b/>
        <sz val="12"/>
        <color rgb="FFB45F06"/>
        <rFont val="Arial"/>
      </rPr>
      <t>machine learning algorithm</t>
    </r>
    <r>
      <rPr>
        <sz val="12"/>
        <color rgb="FF000000"/>
        <rFont val="Arial"/>
      </rPr>
      <t xml:space="preserve"> used to </t>
    </r>
    <r>
      <rPr>
        <b/>
        <sz val="12"/>
        <color rgb="FFB45F06"/>
        <rFont val="Arial"/>
      </rPr>
      <t>find relationships between two variables</t>
    </r>
    <r>
      <rPr>
        <sz val="12"/>
        <color rgb="FF000000"/>
        <rFont val="Arial"/>
      </rPr>
      <t xml:space="preserve"> and </t>
    </r>
    <r>
      <rPr>
        <b/>
        <sz val="12"/>
        <color rgb="FFB45F06"/>
        <rFont val="Arial"/>
      </rPr>
      <t>make predictions</t>
    </r>
    <r>
      <rPr>
        <sz val="12"/>
        <color rgb="FF000000"/>
        <rFont val="Arial"/>
      </rPr>
      <t xml:space="preserve">. 
</t>
    </r>
    <r>
      <rPr>
        <b/>
        <sz val="12"/>
        <color rgb="FF000000"/>
        <rFont val="Arial"/>
      </rPr>
      <t xml:space="preserve"> 
</t>
    </r>
    <r>
      <rPr>
        <sz val="12"/>
        <color rgb="FF000000"/>
        <rFont val="Arial"/>
      </rPr>
      <t xml:space="preserve"> It fits a straight line 📏 through the given data points to show the trend.</t>
    </r>
  </si>
  <si>
    <t>Y = mX + c</t>
  </si>
  <si>
    <t>Where:</t>
  </si>
  <si>
    <r>
      <rPr>
        <b/>
        <sz val="11"/>
        <color rgb="FF000000"/>
        <rFont val="Arial"/>
      </rPr>
      <t>Y</t>
    </r>
    <r>
      <rPr>
        <sz val="11"/>
        <color rgb="FF000000"/>
        <rFont val="Arial"/>
      </rPr>
      <t xml:space="preserve"> = What we want to predict (dependent variable)</t>
    </r>
  </si>
  <si>
    <r>
      <rPr>
        <b/>
        <sz val="11"/>
        <color rgb="FF000000"/>
        <rFont val="Arial"/>
      </rPr>
      <t>X</t>
    </r>
    <r>
      <rPr>
        <sz val="11"/>
        <color rgb="FF000000"/>
        <rFont val="Arial"/>
      </rPr>
      <t xml:space="preserve"> = Known value (independent variable)</t>
    </r>
  </si>
  <si>
    <r>
      <rPr>
        <b/>
        <sz val="11"/>
        <color rgb="FF000000"/>
        <rFont val="Arial"/>
      </rPr>
      <t>m</t>
    </r>
    <r>
      <rPr>
        <sz val="11"/>
        <color rgb="FF000000"/>
        <rFont val="Arial"/>
      </rPr>
      <t xml:space="preserve"> = Slope (Rate of change)</t>
    </r>
  </si>
  <si>
    <r>
      <rPr>
        <b/>
        <sz val="11"/>
        <color rgb="FF000000"/>
        <rFont val="Arial"/>
      </rPr>
      <t>c</t>
    </r>
    <r>
      <rPr>
        <sz val="11"/>
        <color rgb="FF000000"/>
        <rFont val="Arial"/>
      </rPr>
      <t xml:space="preserve"> = Intercept (where the line starts ⇒ Starting value when X = 0)</t>
    </r>
  </si>
  <si>
    <t>Calculating Slope (m) and Intercept (c)</t>
  </si>
  <si>
    <t>Manually</t>
  </si>
  <si>
    <r>
      <rPr>
        <b/>
        <sz val="11"/>
        <color rgb="FF000000"/>
        <rFont val="Arial"/>
      </rPr>
      <t xml:space="preserve">Slope (m) </t>
    </r>
    <r>
      <rPr>
        <sz val="11"/>
        <color rgb="FF000000"/>
        <rFont val="Arial"/>
      </rPr>
      <t>= Sum of Product of Deviations / Sum of Square of deviation for X</t>
    </r>
  </si>
  <si>
    <r>
      <rPr>
        <b/>
        <sz val="11"/>
        <color rgb="FF000000"/>
        <rFont val="Arial"/>
      </rPr>
      <t xml:space="preserve">Intercept (c) </t>
    </r>
    <r>
      <rPr>
        <sz val="11"/>
        <color rgb="FF000000"/>
        <rFont val="Arial"/>
      </rPr>
      <t>= Mean of Y - (m * Mean of X)</t>
    </r>
  </si>
  <si>
    <t>By Formula</t>
  </si>
  <si>
    <r>
      <rPr>
        <b/>
        <sz val="11"/>
        <color rgb="FF000000"/>
        <rFont val="Arial"/>
      </rPr>
      <t>m</t>
    </r>
    <r>
      <rPr>
        <sz val="11"/>
        <color rgb="FF000000"/>
        <rFont val="Arial"/>
      </rPr>
      <t xml:space="preserve"> = SLOPE(Ys, Xs)</t>
    </r>
  </si>
  <si>
    <r>
      <rPr>
        <b/>
        <sz val="11"/>
        <color rgb="FF000000"/>
        <rFont val="Arial"/>
      </rPr>
      <t>c</t>
    </r>
    <r>
      <rPr>
        <sz val="11"/>
        <color rgb="FF000000"/>
        <rFont val="Arial"/>
      </rPr>
      <t xml:space="preserve"> = INTERCEPT(Ys, Xs)</t>
    </r>
  </si>
  <si>
    <t>🍕</t>
  </si>
  <si>
    <t>💵</t>
  </si>
  <si>
    <t>X</t>
  </si>
  <si>
    <t>Y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</si>
  <si>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</si>
  <si>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</si>
  <si>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</si>
  <si>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</si>
  <si>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</si>
  <si>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</si>
  <si>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</si>
  <si>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</si>
  <si>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</si>
  <si>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</si>
  <si>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</si>
  <si>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</si>
  <si>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₹ 250.00</t>
  </si>
  <si>
    <t>₹ 400.00</t>
  </si>
  <si>
    <t>₹ 625.00</t>
  </si>
  <si>
    <t>₹ 999.00</t>
  </si>
  <si>
    <t>?</t>
  </si>
  <si>
    <r>
      <rPr>
        <b/>
        <sz val="11"/>
        <color rgb="FF000000"/>
        <rFont val="Arial"/>
      </rPr>
      <t xml:space="preserve">Slope (m) </t>
    </r>
    <r>
      <rPr>
        <sz val="11"/>
        <color rgb="FF000000"/>
        <rFont val="Arial"/>
      </rPr>
      <t>= Sum of Product of Deviations / Sum of Square of deviation for X</t>
    </r>
  </si>
  <si>
    <r>
      <rPr>
        <b/>
        <sz val="11"/>
        <color rgb="FF000000"/>
        <rFont val="Arial"/>
      </rPr>
      <t xml:space="preserve">Intercept (c) </t>
    </r>
    <r>
      <rPr>
        <sz val="11"/>
        <color rgb="FF000000"/>
        <rFont val="Arial"/>
      </rPr>
      <t>= Mean of Y - (m * Mean of X)</t>
    </r>
  </si>
  <si>
    <t>Slope (m) =</t>
  </si>
  <si>
    <t>Intercept (c) =</t>
  </si>
  <si>
    <t>🌡️</t>
  </si>
  <si>
    <t>🍹</t>
  </si>
  <si>
    <t>Temperature (°C)</t>
  </si>
  <si>
    <t>Lemonade Sold</t>
  </si>
  <si>
    <t>Estimated Lemonade Sold</t>
  </si>
  <si>
    <r>
      <rPr>
        <b/>
        <sz val="11"/>
        <color rgb="FF000000"/>
        <rFont val="Arial"/>
      </rPr>
      <t xml:space="preserve">Slope (m) </t>
    </r>
    <r>
      <rPr>
        <sz val="11"/>
        <color rgb="FF000000"/>
        <rFont val="Arial"/>
      </rPr>
      <t>= Sum of Product of Deviations / Sum of Square of deviation for X</t>
    </r>
  </si>
  <si>
    <r>
      <rPr>
        <b/>
        <sz val="11"/>
        <color rgb="FF000000"/>
        <rFont val="Arial"/>
      </rPr>
      <t xml:space="preserve">Intercept (c) </t>
    </r>
    <r>
      <rPr>
        <sz val="11"/>
        <color rgb="FF000000"/>
        <rFont val="Arial"/>
      </rPr>
      <t>= Mean of Y - (m * Mean of X)</t>
    </r>
  </si>
  <si>
    <t>🏠</t>
  </si>
  <si>
    <t>💰</t>
  </si>
  <si>
    <t>House Size (sq. ft.)</t>
  </si>
  <si>
    <t>₹ 2,000,000.00</t>
  </si>
  <si>
    <t>₹ 2,500,000.00</t>
  </si>
  <si>
    <t>₹ 3,000,000.00</t>
  </si>
  <si>
    <t>₹ 3,500,000.00</t>
  </si>
  <si>
    <r>
      <rPr>
        <b/>
        <sz val="11"/>
        <color rgb="FF000000"/>
        <rFont val="Arial"/>
      </rPr>
      <t xml:space="preserve">Slope (m) </t>
    </r>
    <r>
      <rPr>
        <sz val="11"/>
        <color rgb="FF000000"/>
        <rFont val="Arial"/>
      </rPr>
      <t>= Sum of Product of Deviations / Sum of Square of deviation for X</t>
    </r>
  </si>
  <si>
    <r>
      <rPr>
        <b/>
        <sz val="11"/>
        <color rgb="FF000000"/>
        <rFont val="Arial"/>
      </rPr>
      <t xml:space="preserve">Intercept (c) </t>
    </r>
    <r>
      <rPr>
        <sz val="11"/>
        <color rgb="FF000000"/>
        <rFont val="Arial"/>
      </rPr>
      <t>= Mean of Y - (m * Mean of X)</t>
    </r>
  </si>
  <si>
    <t>Task</t>
  </si>
  <si>
    <t>Challenges</t>
  </si>
  <si>
    <t>1</t>
  </si>
  <si>
    <t>Perform simple linear regression using the sales data.</t>
  </si>
  <si>
    <t>2</t>
  </si>
  <si>
    <t>Interpret the coefficients of a regression model.</t>
  </si>
  <si>
    <t>3</t>
  </si>
  <si>
    <t>Use Excel’s LINEST function to find regression parameters.</t>
  </si>
  <si>
    <t>4</t>
  </si>
  <si>
    <t>Create a scatter plot with a trendline for given data.</t>
  </si>
  <si>
    <t>Calculate R-squared value to evaluate model accuracy.</t>
  </si>
  <si>
    <t>Use Data Analysis ToolPak to generate descriptive statistics.</t>
  </si>
  <si>
    <t>Perform a regression analysis using Excel's built-in tool.</t>
  </si>
  <si>
    <t>Create a pivot table to summarize given sales data.</t>
  </si>
  <si>
    <t>Analyze variance (ANOVA) using Data Analysis ToolPak.</t>
  </si>
  <si>
    <t>Generate histograms to analyze the distribution of a dataset.</t>
  </si>
  <si>
    <t>Advertising (₹)</t>
  </si>
  <si>
    <t>Sales (₹)</t>
  </si>
  <si>
    <t>y=mx+c</t>
  </si>
  <si>
    <t>y</t>
  </si>
  <si>
    <t>m</t>
  </si>
  <si>
    <t>x</t>
  </si>
  <si>
    <t>c</t>
  </si>
  <si>
    <t>if ad increased by 1000 sales will increase by 4000
so even with no ads still sales will be 1000 cause when x=0 
y=1000 which is "y-intercept"</t>
  </si>
  <si>
    <t>SLOPE</t>
  </si>
  <si>
    <t>Y-INTERCEPT</t>
  </si>
  <si>
    <t>R SQUARE values is equal to 1 means 100 % data fits into trendline
 which is very good</t>
  </si>
  <si>
    <t>R SQUARE</t>
  </si>
  <si>
    <t>Region</t>
  </si>
  <si>
    <t>Product</t>
  </si>
  <si>
    <t>Sales</t>
  </si>
  <si>
    <t>Month</t>
  </si>
  <si>
    <t>North</t>
  </si>
  <si>
    <t>Laptop</t>
  </si>
  <si>
    <t>Jan</t>
  </si>
  <si>
    <t>South</t>
  </si>
  <si>
    <t>Mobile</t>
  </si>
  <si>
    <t>East</t>
  </si>
  <si>
    <t>Tablet</t>
  </si>
  <si>
    <t>West</t>
  </si>
  <si>
    <t>Feb</t>
  </si>
  <si>
    <t>Mar</t>
  </si>
  <si>
    <t>Apr</t>
  </si>
  <si>
    <t>May</t>
  </si>
  <si>
    <t>Jun</t>
  </si>
  <si>
    <t>Jul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</si>
  <si>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</si>
  <si>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</si>
  <si>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</si>
  <si>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</si>
  <si>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</si>
  <si>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</si>
  <si>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</si>
  <si>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</si>
  <si>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</si>
  <si>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</si>
  <si>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</si>
  <si>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</si>
  <si>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</si>
  <si>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Advertising Spend (₹)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</si>
  <si>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</si>
  <si>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</si>
  <si>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</si>
  <si>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</si>
  <si>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</si>
  <si>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</si>
  <si>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</si>
  <si>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</si>
  <si>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</si>
  <si>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</si>
  <si>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</si>
  <si>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</si>
  <si>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</si>
  <si>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</si>
  <si>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</si>
  <si>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</si>
  <si>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</si>
  <si>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</si>
  <si>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</si>
  <si>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</si>
  <si>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</si>
  <si>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</si>
  <si>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</si>
  <si>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ANSWER IN SHEET-regression</t>
  </si>
  <si>
    <t>ANSWER IN SHEET-descriptive</t>
  </si>
  <si>
    <t>Row Labels</t>
  </si>
  <si>
    <t>Grand Total</t>
  </si>
  <si>
    <t>Column Labels</t>
  </si>
  <si>
    <t>Sum of Sales</t>
  </si>
  <si>
    <t>ANSWER IN SHEET-pivot</t>
  </si>
  <si>
    <t>Anova: Single Factor</t>
  </si>
  <si>
    <t>SUMMARY</t>
  </si>
  <si>
    <t>Groups</t>
  </si>
  <si>
    <t>Average</t>
  </si>
  <si>
    <t>Variance</t>
  </si>
  <si>
    <t>Column 1</t>
  </si>
  <si>
    <t>Column 2</t>
  </si>
  <si>
    <t>Column 3</t>
  </si>
  <si>
    <t>Column 4</t>
  </si>
  <si>
    <t>Column 5</t>
  </si>
  <si>
    <t>Source of Variation</t>
  </si>
  <si>
    <t>F crit</t>
  </si>
  <si>
    <t>Between Groups</t>
  </si>
  <si>
    <t>Within Groups</t>
  </si>
  <si>
    <t>ANSWER IN SHEET-ANOVA</t>
  </si>
  <si>
    <t>Bin</t>
  </si>
  <si>
    <t>More</t>
  </si>
  <si>
    <t>Frequency</t>
  </si>
  <si>
    <t>ANSWER IN SHEET-histogram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</si>
</sst>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b/>
      <sz val="12"/>
      <color rgb="FF000000"/>
      <name val="&quot;Aptos Narrow&quot;"/>
    </font>
    <font>
      <b/>
      <sz val="20"/>
      <color rgb="FF864D00"/>
      <name val="&quot;Courier New&quot;"/>
    </font>
    <font>
      <sz val="11"/>
      <color rgb="FF864D00"/>
      <name val="&quot;Aptos Narrow&quot;"/>
    </font>
    <font>
      <b/>
      <sz val="11"/>
      <color rgb="FF000000"/>
      <name val="&quot;Aptos Narrow&quot;"/>
    </font>
    <font>
      <sz val="11"/>
      <name val="Calibri"/>
    </font>
    <font>
      <sz val="28"/>
      <color rgb="FF000000"/>
      <name val="&quot;Aptos Narrow&quot;"/>
    </font>
    <font>
      <b/>
      <sz val="14"/>
      <color rgb="FFBE5014"/>
      <name val="&quot;Aptos Narrow&quot;"/>
    </font>
    <font>
      <b/>
      <sz val="11"/>
      <color theme="1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rgb="FFB45F06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BE5014"/>
      </bottom>
      <diagonal/>
    </border>
    <border>
      <left style="thin">
        <color rgb="FFBE5014"/>
      </left>
      <right style="thin">
        <color rgb="FFBE5014"/>
      </right>
      <top/>
      <bottom style="thin">
        <color rgb="FFBE501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2" fillId="0" borderId="8" xfId="0" applyFont="1" applyBorder="1" applyAlignment="1">
      <alignment horizontal="center" vertical="center"/>
    </xf>
    <xf numFmtId="0" fontId="8" fillId="0" borderId="8" xfId="0" applyFont="1" applyBorder="1"/>
    <xf numFmtId="0" fontId="7" fillId="3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6" xfId="0" applyFont="1" applyBorder="1"/>
    <xf numFmtId="0" fontId="2" fillId="0" borderId="4" xfId="0" applyFont="1" applyBorder="1" applyAlignment="1">
      <alignment horizontal="center" vertical="center"/>
    </xf>
    <xf numFmtId="0" fontId="8" fillId="0" borderId="4" xfId="0" applyFont="1" applyBorder="1"/>
    <xf numFmtId="0" fontId="7" fillId="0" borderId="9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" fillId="5" borderId="13" xfId="0" applyFont="1" applyFill="1" applyBorder="1"/>
    <xf numFmtId="0" fontId="17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7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0" fillId="0" borderId="0" xfId="0" applyFill="1" applyBorder="1" applyAlignment="1"/>
    <xf numFmtId="0" fontId="0" fillId="0" borderId="14" xfId="0" applyFill="1" applyBorder="1" applyAlignment="1"/>
    <xf numFmtId="0" fontId="19" fillId="0" borderId="15" xfId="0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ADVERTISING</a:t>
            </a:r>
            <a:r>
              <a:rPr lang="en-IN" baseline="0"/>
              <a:t> VS SALES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6708333333333336"/>
          <c:w val="0.83319685039370084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Regression'!$F$2:$F$21</c:f>
              <c:numCache>
                <c:formatCode>General</c:formatCode>
                <c:ptCount val="20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  <c:pt idx="19">
                  <c:v>10500</c:v>
                </c:pt>
              </c:numCache>
            </c:numRef>
          </c:xVal>
          <c:yVal>
            <c:numRef>
              <c:f>'Linear Regression'!$G$2:$G$21</c:f>
              <c:numCache>
                <c:formatCode>General</c:formatCode>
                <c:ptCount val="20"/>
                <c:pt idx="0">
                  <c:v>5000</c:v>
                </c:pt>
                <c:pt idx="1">
                  <c:v>7000</c:v>
                </c:pt>
                <c:pt idx="2">
                  <c:v>9000</c:v>
                </c:pt>
                <c:pt idx="3">
                  <c:v>11000</c:v>
                </c:pt>
                <c:pt idx="4">
                  <c:v>13000</c:v>
                </c:pt>
                <c:pt idx="5">
                  <c:v>15000</c:v>
                </c:pt>
                <c:pt idx="6">
                  <c:v>17000</c:v>
                </c:pt>
                <c:pt idx="7">
                  <c:v>19000</c:v>
                </c:pt>
                <c:pt idx="8">
                  <c:v>21000</c:v>
                </c:pt>
                <c:pt idx="9">
                  <c:v>23000</c:v>
                </c:pt>
                <c:pt idx="10">
                  <c:v>25000</c:v>
                </c:pt>
                <c:pt idx="11">
                  <c:v>27000</c:v>
                </c:pt>
                <c:pt idx="12">
                  <c:v>29000</c:v>
                </c:pt>
                <c:pt idx="13">
                  <c:v>31000</c:v>
                </c:pt>
                <c:pt idx="14">
                  <c:v>33000</c:v>
                </c:pt>
                <c:pt idx="15">
                  <c:v>35000</c:v>
                </c:pt>
                <c:pt idx="16">
                  <c:v>37000</c:v>
                </c:pt>
                <c:pt idx="17">
                  <c:v>39000</c:v>
                </c:pt>
                <c:pt idx="18">
                  <c:v>41000</c:v>
                </c:pt>
                <c:pt idx="19">
                  <c:v>43000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7-43C1-B120-47FA1129F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785632"/>
        <c:axId val="1182787072"/>
      </c:scatterChart>
      <c:valAx>
        <c:axId val="118278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87072"/>
        <c:crosses val="autoZero"/>
        <c:crossBetween val="midCat"/>
      </c:valAx>
      <c:valAx>
        <c:axId val="11827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8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histogram!$A$2:$A$6</c:f>
              <c:strCache>
                <c:ptCount val="5"/>
                <c:pt idx="0">
                  <c:v>15000</c:v>
                </c:pt>
                <c:pt idx="1">
                  <c:v>27500</c:v>
                </c:pt>
                <c:pt idx="2">
                  <c:v>40000</c:v>
                </c:pt>
                <c:pt idx="3">
                  <c:v>52500</c:v>
                </c:pt>
                <c:pt idx="4">
                  <c:v>More</c:v>
                </c:pt>
              </c:strCache>
            </c:strRef>
          </c:cat>
          <c:val>
            <c:numRef>
              <c:f>histogram!$B$2:$B$6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6-435B-8C8F-0CEB34EC8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450624"/>
        <c:axId val="1329458304"/>
      </c:barChart>
      <c:catAx>
        <c:axId val="132945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458304"/>
        <c:crosses val="autoZero"/>
        <c:auto val="1"/>
        <c:lblAlgn val="ctr"/>
        <c:lblOffset val="100"/>
        <c:noMultiLvlLbl val="0"/>
      </c:catAx>
      <c:valAx>
        <c:axId val="132945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450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1</xdr:row>
      <xdr:rowOff>57150</xdr:rowOff>
    </xdr:from>
    <xdr:to>
      <xdr:col>19</xdr:col>
      <xdr:colOff>68580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745C2-7710-154F-F33E-45E9653DD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A20E0-E326-63E4-E008-3778EC004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32.676581134256" createdVersion="8" refreshedVersion="8" minRefreshableVersion="3" recordCount="20" xr:uid="{85C36CE8-5570-4AB2-8DB9-E42FCFD507AF}">
  <cacheSource type="worksheet">
    <worksheetSource ref="F1:I21" sheet="Data Analysis Feature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5000" maxValue="65000" count="19">
        <n v="50000"/>
        <n v="20000"/>
        <n v="15000"/>
        <n v="55000"/>
        <n v="22000"/>
        <n v="18000"/>
        <n v="60000"/>
        <n v="25000"/>
        <n v="17000"/>
        <n v="52000"/>
        <n v="24000"/>
        <n v="16000"/>
        <n v="58000"/>
        <n v="26000"/>
        <n v="19000"/>
        <n v="62000"/>
        <n v="27000"/>
        <n v="65000"/>
        <n v="28000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s v="Jan"/>
  </r>
  <r>
    <x v="1"/>
    <x v="1"/>
    <x v="1"/>
    <s v="Jan"/>
  </r>
  <r>
    <x v="2"/>
    <x v="2"/>
    <x v="2"/>
    <s v="Jan"/>
  </r>
  <r>
    <x v="3"/>
    <x v="0"/>
    <x v="3"/>
    <s v="Feb"/>
  </r>
  <r>
    <x v="0"/>
    <x v="1"/>
    <x v="4"/>
    <s v="Feb"/>
  </r>
  <r>
    <x v="1"/>
    <x v="2"/>
    <x v="5"/>
    <s v="Feb"/>
  </r>
  <r>
    <x v="2"/>
    <x v="0"/>
    <x v="6"/>
    <s v="Mar"/>
  </r>
  <r>
    <x v="3"/>
    <x v="1"/>
    <x v="7"/>
    <s v="Mar"/>
  </r>
  <r>
    <x v="0"/>
    <x v="2"/>
    <x v="8"/>
    <s v="Mar"/>
  </r>
  <r>
    <x v="1"/>
    <x v="0"/>
    <x v="9"/>
    <s v="Apr"/>
  </r>
  <r>
    <x v="2"/>
    <x v="1"/>
    <x v="10"/>
    <s v="Apr"/>
  </r>
  <r>
    <x v="3"/>
    <x v="2"/>
    <x v="11"/>
    <s v="Apr"/>
  </r>
  <r>
    <x v="0"/>
    <x v="0"/>
    <x v="12"/>
    <s v="May"/>
  </r>
  <r>
    <x v="1"/>
    <x v="1"/>
    <x v="13"/>
    <s v="May"/>
  </r>
  <r>
    <x v="2"/>
    <x v="2"/>
    <x v="14"/>
    <s v="May"/>
  </r>
  <r>
    <x v="3"/>
    <x v="0"/>
    <x v="15"/>
    <s v="Jun"/>
  </r>
  <r>
    <x v="0"/>
    <x v="1"/>
    <x v="16"/>
    <s v="Jun"/>
  </r>
  <r>
    <x v="1"/>
    <x v="2"/>
    <x v="1"/>
    <s v="Jun"/>
  </r>
  <r>
    <x v="2"/>
    <x v="0"/>
    <x v="17"/>
    <s v="Jul"/>
  </r>
  <r>
    <x v="3"/>
    <x v="1"/>
    <x v="18"/>
    <s v="J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E24AF-7212-47AC-AEBE-130E6B5B551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>
      <items count="20">
        <item x="2"/>
        <item x="11"/>
        <item x="8"/>
        <item x="5"/>
        <item x="14"/>
        <item x="1"/>
        <item x="4"/>
        <item x="10"/>
        <item x="7"/>
        <item x="13"/>
        <item x="16"/>
        <item x="18"/>
        <item x="0"/>
        <item x="9"/>
        <item x="3"/>
        <item x="12"/>
        <item x="6"/>
        <item x="15"/>
        <item x="17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4.44140625" defaultRowHeight="15" customHeight="1"/>
  <cols>
    <col min="2" max="2" width="93.88671875" customWidth="1"/>
  </cols>
  <sheetData>
    <row r="1" spans="1:26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/>
      <c r="B6" s="7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/>
      <c r="B8" s="8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/>
      <c r="B9" s="8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/>
      <c r="B10" s="8" t="s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/>
      <c r="B11" s="9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/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1"/>
      <c r="B15" s="12" t="s">
        <v>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4" t="s">
        <v>8</v>
      </c>
      <c r="B16" s="13" t="s">
        <v>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5"/>
      <c r="B17" s="1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4"/>
      <c r="B18" s="1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4" t="s">
        <v>11</v>
      </c>
      <c r="B19" s="15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45"/>
      <c r="B20" s="15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1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1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6:A17"/>
    <mergeCell ref="A19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68" workbookViewId="0">
      <selection activeCell="C4" sqref="C4:C12"/>
    </sheetView>
  </sheetViews>
  <sheetFormatPr defaultColWidth="14.44140625" defaultRowHeight="14.4"/>
  <cols>
    <col min="1" max="1" width="16.77734375" bestFit="1" customWidth="1"/>
    <col min="2" max="2" width="9.109375" bestFit="1" customWidth="1"/>
    <col min="3" max="3" width="16.44140625" bestFit="1" customWidth="1"/>
    <col min="5" max="5" width="14.5546875" bestFit="1" customWidth="1"/>
    <col min="6" max="6" width="12" bestFit="1" customWidth="1"/>
    <col min="7" max="7" width="17.21875" bestFit="1" customWidth="1"/>
    <col min="8" max="8" width="17.33203125" bestFit="1" customWidth="1"/>
    <col min="9" max="9" width="22.21875" bestFit="1" customWidth="1"/>
    <col min="10" max="10" width="29.88671875" bestFit="1" customWidth="1"/>
    <col min="11" max="11" width="27.33203125" bestFit="1" customWidth="1"/>
    <col min="12" max="12" width="35" bestFit="1" customWidth="1"/>
  </cols>
  <sheetData>
    <row r="1" spans="1:26" ht="34.799999999999997">
      <c r="A1" s="17" t="s">
        <v>14</v>
      </c>
      <c r="B1" s="18" t="s">
        <v>15</v>
      </c>
      <c r="C1" s="19"/>
      <c r="D1" s="1"/>
      <c r="E1" s="46"/>
      <c r="F1" s="47"/>
      <c r="G1" s="47"/>
      <c r="H1" s="47"/>
      <c r="I1" s="47"/>
      <c r="J1" s="47"/>
      <c r="K1" s="47"/>
      <c r="L1" s="4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1" t="s">
        <v>16</v>
      </c>
      <c r="B2" s="22" t="s">
        <v>17</v>
      </c>
      <c r="C2" s="19" t="s">
        <v>1</v>
      </c>
      <c r="D2" s="1"/>
      <c r="E2" s="48" t="s">
        <v>18</v>
      </c>
      <c r="F2" s="49"/>
      <c r="G2" s="49"/>
      <c r="H2" s="49"/>
      <c r="I2" s="49"/>
      <c r="J2" s="49"/>
      <c r="K2" s="49"/>
      <c r="L2" s="5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3" t="s">
        <v>19</v>
      </c>
      <c r="B3" s="24" t="s">
        <v>20</v>
      </c>
      <c r="C3" s="25" t="s">
        <v>21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14">
        <v>8</v>
      </c>
      <c r="B4" s="20" t="s">
        <v>30</v>
      </c>
      <c r="C4" s="55">
        <f>$F$12*A4+$F$13</f>
        <v>215.85981308411215</v>
      </c>
      <c r="D4" s="1"/>
      <c r="E4" s="51">
        <f>AVERAGE(A4:A7)</f>
        <v>11.25</v>
      </c>
      <c r="F4" s="51" cm="1">
        <f t="array" ref="F4">AVERAGE(_xlfn.NUMBERVALUE(B4:B7))</f>
        <v>568.5</v>
      </c>
      <c r="G4" s="28">
        <f>A4-$E$4</f>
        <v>-3.25</v>
      </c>
      <c r="H4" s="28">
        <f>_xlfn.NUMBERVALUE(B4)-$F$4</f>
        <v>-318.5</v>
      </c>
      <c r="I4" s="28">
        <f>G4*H4</f>
        <v>1035.125</v>
      </c>
      <c r="J4" s="51">
        <f>SUM(I4:I7)</f>
        <v>2902.5</v>
      </c>
      <c r="K4" s="28">
        <f>G4*G4</f>
        <v>10.5625</v>
      </c>
      <c r="L4" s="51">
        <f>SUM(K4:K7)</f>
        <v>26.75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4">
        <v>10</v>
      </c>
      <c r="B5" s="20" t="s">
        <v>31</v>
      </c>
      <c r="C5" s="55">
        <f t="shared" ref="C5:C12" si="0">$F$12*A5+$F$13</f>
        <v>432.86915887850478</v>
      </c>
      <c r="D5" s="1"/>
      <c r="E5" s="52"/>
      <c r="F5" s="52"/>
      <c r="G5" s="28">
        <f t="shared" ref="G5:G7" si="1">A5-$E$4</f>
        <v>-1.25</v>
      </c>
      <c r="H5" s="28">
        <f t="shared" ref="H5:H7" si="2">_xlfn.NUMBERVALUE(B5)-$F$4</f>
        <v>-168.5</v>
      </c>
      <c r="I5" s="28">
        <f t="shared" ref="I5:I7" si="3">G5*H5</f>
        <v>210.625</v>
      </c>
      <c r="J5" s="52"/>
      <c r="K5" s="28">
        <f t="shared" ref="K5:K7" si="4">G5*G5</f>
        <v>1.5625</v>
      </c>
      <c r="L5" s="5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4">
        <v>12</v>
      </c>
      <c r="B6" s="20" t="s">
        <v>32</v>
      </c>
      <c r="C6" s="55">
        <f t="shared" si="0"/>
        <v>649.87850467289718</v>
      </c>
      <c r="D6" s="1"/>
      <c r="E6" s="52"/>
      <c r="F6" s="52"/>
      <c r="G6" s="28">
        <f t="shared" si="1"/>
        <v>0.75</v>
      </c>
      <c r="H6" s="28">
        <f t="shared" si="2"/>
        <v>56.5</v>
      </c>
      <c r="I6" s="28">
        <f t="shared" si="3"/>
        <v>42.375</v>
      </c>
      <c r="J6" s="52"/>
      <c r="K6" s="28">
        <f t="shared" si="4"/>
        <v>0.5625</v>
      </c>
      <c r="L6" s="5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4">
        <v>15</v>
      </c>
      <c r="B7" s="20" t="s">
        <v>33</v>
      </c>
      <c r="C7" s="55">
        <f t="shared" si="0"/>
        <v>975.3925233644859</v>
      </c>
      <c r="D7" s="1"/>
      <c r="E7" s="45"/>
      <c r="F7" s="45"/>
      <c r="G7" s="28">
        <f t="shared" si="1"/>
        <v>3.75</v>
      </c>
      <c r="H7" s="28">
        <f t="shared" si="2"/>
        <v>430.5</v>
      </c>
      <c r="I7" s="28">
        <f t="shared" si="3"/>
        <v>1614.375</v>
      </c>
      <c r="J7" s="45"/>
      <c r="K7" s="28">
        <f t="shared" si="4"/>
        <v>14.0625</v>
      </c>
      <c r="L7" s="4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4">
        <v>17</v>
      </c>
      <c r="B8" s="20" t="s">
        <v>34</v>
      </c>
      <c r="C8" s="55">
        <f t="shared" si="0"/>
        <v>1192.4018691588785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4">
        <v>18</v>
      </c>
      <c r="B9" s="20" t="s">
        <v>34</v>
      </c>
      <c r="C9" s="55">
        <f t="shared" si="0"/>
        <v>1300.9065420560748</v>
      </c>
      <c r="D9" s="1"/>
      <c r="E9" s="53" t="s">
        <v>35</v>
      </c>
      <c r="F9" s="49"/>
      <c r="G9" s="49"/>
      <c r="H9" s="49"/>
      <c r="I9" s="49"/>
      <c r="J9" s="50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4">
        <v>20</v>
      </c>
      <c r="B10" s="20" t="s">
        <v>34</v>
      </c>
      <c r="C10" s="55">
        <f t="shared" si="0"/>
        <v>1517.9158878504675</v>
      </c>
      <c r="D10" s="1"/>
      <c r="E10" s="53" t="s">
        <v>36</v>
      </c>
      <c r="F10" s="49"/>
      <c r="G10" s="49"/>
      <c r="H10" s="49"/>
      <c r="I10" s="49"/>
      <c r="J10" s="50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4">
        <v>22</v>
      </c>
      <c r="B11" s="20" t="s">
        <v>34</v>
      </c>
      <c r="C11" s="55">
        <f t="shared" si="0"/>
        <v>1734.9252336448596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4">
        <v>26</v>
      </c>
      <c r="B12" s="20" t="s">
        <v>34</v>
      </c>
      <c r="C12" s="55">
        <f t="shared" si="0"/>
        <v>2168.9439252336451</v>
      </c>
      <c r="D12" s="1"/>
      <c r="E12" s="29" t="s">
        <v>37</v>
      </c>
      <c r="F12" s="30">
        <f>J4/L4</f>
        <v>108.50467289719626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1"/>
      <c r="C13" s="1"/>
      <c r="D13" s="1"/>
      <c r="E13" s="31" t="s">
        <v>38</v>
      </c>
      <c r="F13" s="28">
        <f>F4-(F12*E4)</f>
        <v>-652.17757009345792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4" sqref="F4:F7"/>
    </sheetView>
  </sheetViews>
  <sheetFormatPr defaultColWidth="14.44140625" defaultRowHeight="14.4"/>
  <cols>
    <col min="1" max="1" width="17.88671875" bestFit="1" customWidth="1"/>
    <col min="2" max="2" width="16.33203125" bestFit="1" customWidth="1"/>
    <col min="3" max="3" width="27" bestFit="1" customWidth="1"/>
    <col min="5" max="5" width="14.5546875" bestFit="1" customWidth="1"/>
    <col min="6" max="6" width="12" bestFit="1" customWidth="1"/>
    <col min="7" max="7" width="17.21875" bestFit="1" customWidth="1"/>
    <col min="8" max="8" width="17.33203125" bestFit="1" customWidth="1"/>
    <col min="9" max="9" width="22.21875" bestFit="1" customWidth="1"/>
    <col min="10" max="10" width="29.88671875" bestFit="1" customWidth="1"/>
    <col min="11" max="11" width="27.33203125" bestFit="1" customWidth="1"/>
    <col min="12" max="12" width="35" bestFit="1" customWidth="1"/>
  </cols>
  <sheetData>
    <row r="1" spans="1:26" ht="34.799999999999997">
      <c r="A1" s="33" t="s">
        <v>39</v>
      </c>
      <c r="B1" s="34" t="s">
        <v>40</v>
      </c>
      <c r="C1" s="35"/>
      <c r="D1" s="1"/>
      <c r="E1" s="46"/>
      <c r="F1" s="47"/>
      <c r="G1" s="47"/>
      <c r="H1" s="47"/>
      <c r="I1" s="47"/>
      <c r="J1" s="47"/>
      <c r="K1" s="47"/>
      <c r="L1" s="4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3" t="s">
        <v>16</v>
      </c>
      <c r="B2" s="24" t="s">
        <v>17</v>
      </c>
      <c r="C2" s="35" t="s">
        <v>1</v>
      </c>
      <c r="D2" s="1"/>
      <c r="E2" s="48" t="s">
        <v>18</v>
      </c>
      <c r="F2" s="49"/>
      <c r="G2" s="49"/>
      <c r="H2" s="49"/>
      <c r="I2" s="49"/>
      <c r="J2" s="49"/>
      <c r="K2" s="49"/>
      <c r="L2" s="5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3" t="s">
        <v>41</v>
      </c>
      <c r="B3" s="24" t="s">
        <v>42</v>
      </c>
      <c r="C3" s="36" t="s">
        <v>43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37">
        <v>25</v>
      </c>
      <c r="B4" s="38">
        <v>50</v>
      </c>
      <c r="C4" s="38">
        <f>$F$12*A4+$F$13</f>
        <v>50</v>
      </c>
      <c r="D4" s="1"/>
      <c r="E4" s="51">
        <f>AVERAGE(A4:A7)</f>
        <v>32.5</v>
      </c>
      <c r="F4" s="51">
        <f>AVERAGE(B4:B7)</f>
        <v>80</v>
      </c>
      <c r="G4" s="28">
        <f>A4-$E$4</f>
        <v>-7.5</v>
      </c>
      <c r="H4" s="28">
        <f>B4-$F$4</f>
        <v>-30</v>
      </c>
      <c r="I4" s="28">
        <f>G4*H4</f>
        <v>225</v>
      </c>
      <c r="J4" s="51">
        <f>SUM(I4:I7)</f>
        <v>500</v>
      </c>
      <c r="K4" s="28">
        <f>G4*G4</f>
        <v>56.25</v>
      </c>
      <c r="L4" s="51">
        <f>SUM(K4:K7)</f>
        <v>125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7">
        <v>30</v>
      </c>
      <c r="B5" s="38">
        <v>70</v>
      </c>
      <c r="C5" s="38">
        <f t="shared" ref="C5:C11" si="0">$F$12*A5+$F$13</f>
        <v>70</v>
      </c>
      <c r="D5" s="1"/>
      <c r="E5" s="52"/>
      <c r="F5" s="52"/>
      <c r="G5" s="28">
        <f t="shared" ref="G5:G7" si="1">A5-$E$4</f>
        <v>-2.5</v>
      </c>
      <c r="H5" s="28">
        <f t="shared" ref="H5:H7" si="2">B5-$F$4</f>
        <v>-10</v>
      </c>
      <c r="I5" s="28">
        <f t="shared" ref="I5:I7" si="3">G5*H5</f>
        <v>25</v>
      </c>
      <c r="J5" s="52"/>
      <c r="K5" s="28">
        <f t="shared" ref="K5:K7" si="4">G5*G5</f>
        <v>6.25</v>
      </c>
      <c r="L5" s="5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7">
        <v>35</v>
      </c>
      <c r="B6" s="38">
        <v>90</v>
      </c>
      <c r="C6" s="38">
        <f t="shared" si="0"/>
        <v>90</v>
      </c>
      <c r="D6" s="1"/>
      <c r="E6" s="52"/>
      <c r="F6" s="52"/>
      <c r="G6" s="28">
        <f t="shared" si="1"/>
        <v>2.5</v>
      </c>
      <c r="H6" s="28">
        <f t="shared" si="2"/>
        <v>10</v>
      </c>
      <c r="I6" s="28">
        <f t="shared" si="3"/>
        <v>25</v>
      </c>
      <c r="J6" s="52"/>
      <c r="K6" s="28">
        <f t="shared" si="4"/>
        <v>6.25</v>
      </c>
      <c r="L6" s="5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7">
        <v>40</v>
      </c>
      <c r="B7" s="38">
        <v>110</v>
      </c>
      <c r="C7" s="38">
        <f t="shared" si="0"/>
        <v>110</v>
      </c>
      <c r="D7" s="1"/>
      <c r="E7" s="45"/>
      <c r="F7" s="45"/>
      <c r="G7" s="28">
        <f t="shared" si="1"/>
        <v>7.5</v>
      </c>
      <c r="H7" s="28">
        <f t="shared" si="2"/>
        <v>30</v>
      </c>
      <c r="I7" s="28">
        <f t="shared" si="3"/>
        <v>225</v>
      </c>
      <c r="J7" s="45"/>
      <c r="K7" s="28">
        <f t="shared" si="4"/>
        <v>56.25</v>
      </c>
      <c r="L7" s="4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7">
        <v>42</v>
      </c>
      <c r="B8" s="38" t="s">
        <v>34</v>
      </c>
      <c r="C8" s="38">
        <f t="shared" si="0"/>
        <v>118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7">
        <v>44</v>
      </c>
      <c r="B9" s="38" t="s">
        <v>34</v>
      </c>
      <c r="C9" s="38">
        <f t="shared" si="0"/>
        <v>126</v>
      </c>
      <c r="D9" s="1"/>
      <c r="E9" s="53" t="s">
        <v>44</v>
      </c>
      <c r="F9" s="49"/>
      <c r="G9" s="49"/>
      <c r="H9" s="49"/>
      <c r="I9" s="49"/>
      <c r="J9" s="50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7">
        <v>45</v>
      </c>
      <c r="B10" s="38" t="s">
        <v>34</v>
      </c>
      <c r="C10" s="38">
        <f t="shared" si="0"/>
        <v>130</v>
      </c>
      <c r="D10" s="1"/>
      <c r="E10" s="53" t="s">
        <v>45</v>
      </c>
      <c r="F10" s="49"/>
      <c r="G10" s="49"/>
      <c r="H10" s="49"/>
      <c r="I10" s="49"/>
      <c r="J10" s="50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7">
        <v>47</v>
      </c>
      <c r="B11" s="38" t="s">
        <v>34</v>
      </c>
      <c r="C11" s="38">
        <f t="shared" si="0"/>
        <v>138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/>
      <c r="B12" s="1"/>
      <c r="C12" s="1"/>
      <c r="D12" s="1"/>
      <c r="E12" s="29" t="s">
        <v>37</v>
      </c>
      <c r="F12" s="30">
        <f>J4/L4</f>
        <v>4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1"/>
      <c r="C13" s="1"/>
      <c r="D13" s="1"/>
      <c r="E13" s="31" t="s">
        <v>38</v>
      </c>
      <c r="F13" s="28">
        <f>F4-(F12*E4)</f>
        <v>-50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7" sqref="D7"/>
    </sheetView>
  </sheetViews>
  <sheetFormatPr defaultColWidth="14.44140625" defaultRowHeight="14.4"/>
  <cols>
    <col min="1" max="1" width="19.33203125" bestFit="1" customWidth="1"/>
    <col min="2" max="2" width="14.44140625" bestFit="1" customWidth="1"/>
    <col min="3" max="3" width="16.44140625" bestFit="1" customWidth="1"/>
    <col min="5" max="5" width="14.5546875" bestFit="1" customWidth="1"/>
    <col min="6" max="6" width="12" bestFit="1" customWidth="1"/>
    <col min="7" max="7" width="17.21875" bestFit="1" customWidth="1"/>
    <col min="8" max="8" width="17.33203125" bestFit="1" customWidth="1"/>
    <col min="9" max="9" width="22.21875" bestFit="1" customWidth="1"/>
    <col min="10" max="10" width="29.88671875" bestFit="1" customWidth="1"/>
    <col min="11" max="11" width="27.33203125" bestFit="1" customWidth="1"/>
    <col min="12" max="12" width="35" bestFit="1" customWidth="1"/>
  </cols>
  <sheetData>
    <row r="1" spans="1:26" ht="34.799999999999997">
      <c r="A1" s="33" t="s">
        <v>46</v>
      </c>
      <c r="B1" s="34" t="s">
        <v>47</v>
      </c>
      <c r="C1" s="35"/>
      <c r="D1" s="1"/>
      <c r="E1" s="46"/>
      <c r="F1" s="47"/>
      <c r="G1" s="47"/>
      <c r="H1" s="47"/>
      <c r="I1" s="47"/>
      <c r="J1" s="47"/>
      <c r="K1" s="47"/>
      <c r="L1" s="4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3" t="s">
        <v>16</v>
      </c>
      <c r="B2" s="24" t="s">
        <v>17</v>
      </c>
      <c r="C2" s="35" t="s">
        <v>1</v>
      </c>
      <c r="D2" s="1"/>
      <c r="E2" s="48" t="s">
        <v>18</v>
      </c>
      <c r="F2" s="49"/>
      <c r="G2" s="49"/>
      <c r="H2" s="49"/>
      <c r="I2" s="49"/>
      <c r="J2" s="49"/>
      <c r="K2" s="49"/>
      <c r="L2" s="5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3" t="s">
        <v>48</v>
      </c>
      <c r="B3" s="24" t="s">
        <v>20</v>
      </c>
      <c r="C3" s="25" t="s">
        <v>21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37">
        <v>1000</v>
      </c>
      <c r="B4" s="39" t="s">
        <v>49</v>
      </c>
      <c r="C4" s="54">
        <f>$F$12*A4+$F$13</f>
        <v>2000000</v>
      </c>
      <c r="D4" s="1"/>
      <c r="E4" s="51">
        <f>AVERAGE(A4:A7)</f>
        <v>1750</v>
      </c>
      <c r="F4" s="51" cm="1">
        <f t="array" ref="F4">AVERAGE(_xlfn.NUMBERVALUE(B4:B7))</f>
        <v>2750000</v>
      </c>
      <c r="G4" s="28">
        <f>A4-$E$4</f>
        <v>-750</v>
      </c>
      <c r="H4" s="28">
        <f>_xlfn.NUMBERVALUE(B4)-$F$4</f>
        <v>-750000</v>
      </c>
      <c r="I4" s="28">
        <f>G4*H4</f>
        <v>562500000</v>
      </c>
      <c r="J4" s="51">
        <f>SUM(I4:I7)</f>
        <v>1250000000</v>
      </c>
      <c r="K4" s="28">
        <f>G4*G4</f>
        <v>562500</v>
      </c>
      <c r="L4" s="51">
        <f>SUM(K4:K7)</f>
        <v>1250000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7">
        <v>1500</v>
      </c>
      <c r="B5" s="39" t="s">
        <v>50</v>
      </c>
      <c r="C5" s="54">
        <f t="shared" ref="C5:C11" si="0">$F$12*A5+$F$13</f>
        <v>2500000</v>
      </c>
      <c r="D5" s="1"/>
      <c r="E5" s="52"/>
      <c r="F5" s="52"/>
      <c r="G5" s="28">
        <f t="shared" ref="G5:G7" si="1">A5-$E$4</f>
        <v>-250</v>
      </c>
      <c r="H5" s="28">
        <f t="shared" ref="H5:H7" si="2">_xlfn.NUMBERVALUE(B5)-$F$4</f>
        <v>-250000</v>
      </c>
      <c r="I5" s="28">
        <f t="shared" ref="I5:I7" si="3">G5*H5</f>
        <v>62500000</v>
      </c>
      <c r="J5" s="52"/>
      <c r="K5" s="28">
        <f t="shared" ref="K5:K7" si="4">G5*G5</f>
        <v>62500</v>
      </c>
      <c r="L5" s="5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7">
        <v>2000</v>
      </c>
      <c r="B6" s="39" t="s">
        <v>51</v>
      </c>
      <c r="C6" s="54">
        <f t="shared" si="0"/>
        <v>3000000</v>
      </c>
      <c r="D6" s="1"/>
      <c r="E6" s="52"/>
      <c r="F6" s="52"/>
      <c r="G6" s="28">
        <f t="shared" si="1"/>
        <v>250</v>
      </c>
      <c r="H6" s="28">
        <f t="shared" si="2"/>
        <v>250000</v>
      </c>
      <c r="I6" s="28">
        <f t="shared" si="3"/>
        <v>62500000</v>
      </c>
      <c r="J6" s="52"/>
      <c r="K6" s="28">
        <f t="shared" si="4"/>
        <v>62500</v>
      </c>
      <c r="L6" s="5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7">
        <v>2500</v>
      </c>
      <c r="B7" s="39" t="s">
        <v>52</v>
      </c>
      <c r="C7" s="54">
        <f t="shared" si="0"/>
        <v>3500000</v>
      </c>
      <c r="D7" s="1"/>
      <c r="E7" s="45"/>
      <c r="F7" s="45"/>
      <c r="G7" s="28">
        <f t="shared" si="1"/>
        <v>750</v>
      </c>
      <c r="H7" s="28">
        <f t="shared" si="2"/>
        <v>750000</v>
      </c>
      <c r="I7" s="28">
        <f t="shared" si="3"/>
        <v>562500000</v>
      </c>
      <c r="J7" s="45"/>
      <c r="K7" s="28">
        <f t="shared" si="4"/>
        <v>562500</v>
      </c>
      <c r="L7" s="4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7">
        <v>2800</v>
      </c>
      <c r="B8" s="39" t="s">
        <v>34</v>
      </c>
      <c r="C8" s="54">
        <f t="shared" si="0"/>
        <v>3800000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7">
        <v>3000</v>
      </c>
      <c r="B9" s="39" t="s">
        <v>34</v>
      </c>
      <c r="C9" s="54">
        <f t="shared" si="0"/>
        <v>4000000</v>
      </c>
      <c r="D9" s="1"/>
      <c r="E9" s="53" t="s">
        <v>53</v>
      </c>
      <c r="F9" s="49"/>
      <c r="G9" s="49"/>
      <c r="H9" s="49"/>
      <c r="I9" s="49"/>
      <c r="J9" s="50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7">
        <v>3250</v>
      </c>
      <c r="B10" s="39" t="s">
        <v>34</v>
      </c>
      <c r="C10" s="54">
        <f t="shared" si="0"/>
        <v>4250000</v>
      </c>
      <c r="D10" s="1"/>
      <c r="E10" s="53" t="s">
        <v>54</v>
      </c>
      <c r="F10" s="49"/>
      <c r="G10" s="49"/>
      <c r="H10" s="49"/>
      <c r="I10" s="49"/>
      <c r="J10" s="50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7">
        <v>3500</v>
      </c>
      <c r="B11" s="39" t="s">
        <v>34</v>
      </c>
      <c r="C11" s="54">
        <f t="shared" si="0"/>
        <v>4500000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/>
      <c r="B12" s="1"/>
      <c r="C12" s="1"/>
      <c r="D12" s="1"/>
      <c r="E12" s="29" t="s">
        <v>37</v>
      </c>
      <c r="F12" s="30">
        <f>J4/L4</f>
        <v>1000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1"/>
      <c r="C13" s="1"/>
      <c r="D13" s="1"/>
      <c r="E13" s="31" t="s">
        <v>38</v>
      </c>
      <c r="F13" s="28">
        <f>F4-(F12*E4)</f>
        <v>1000000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I15" sqref="I15"/>
    </sheetView>
  </sheetViews>
  <sheetFormatPr defaultColWidth="14.44140625" defaultRowHeight="14.4"/>
  <cols>
    <col min="1" max="1" width="4.77734375" bestFit="1" customWidth="1"/>
    <col min="2" max="2" width="49.5546875" bestFit="1" customWidth="1"/>
    <col min="3" max="3" width="9.33203125" bestFit="1" customWidth="1"/>
    <col min="4" max="4" width="11.77734375" bestFit="1" customWidth="1"/>
    <col min="5" max="5" width="8.6640625" customWidth="1"/>
    <col min="6" max="6" width="13.33203125" bestFit="1" customWidth="1"/>
    <col min="7" max="7" width="8" bestFit="1" customWidth="1"/>
    <col min="8" max="8" width="7.44140625" bestFit="1" customWidth="1"/>
    <col min="9" max="10" width="8.6640625" customWidth="1"/>
    <col min="11" max="11" width="3.21875" customWidth="1"/>
    <col min="12" max="26" width="8.6640625" customWidth="1"/>
  </cols>
  <sheetData>
    <row r="1" spans="1:26" ht="23.4">
      <c r="A1" s="40" t="s">
        <v>55</v>
      </c>
      <c r="B1" s="40" t="s">
        <v>56</v>
      </c>
      <c r="C1" s="41"/>
      <c r="D1" s="41"/>
      <c r="E1" s="41"/>
      <c r="F1" s="63" t="s">
        <v>71</v>
      </c>
      <c r="G1" s="63" t="s">
        <v>72</v>
      </c>
      <c r="H1" s="65" t="s">
        <v>73</v>
      </c>
      <c r="K1" s="41"/>
      <c r="L1" s="66" t="s">
        <v>64</v>
      </c>
      <c r="M1" s="67"/>
      <c r="N1" s="67"/>
      <c r="O1" s="67"/>
      <c r="P1" s="67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>
      <c r="A2" s="42" t="s">
        <v>57</v>
      </c>
      <c r="B2" s="43" t="s">
        <v>58</v>
      </c>
      <c r="C2" s="41"/>
      <c r="D2" s="41"/>
      <c r="E2" s="41"/>
      <c r="F2" s="64">
        <v>1000</v>
      </c>
      <c r="G2" s="64">
        <v>5000</v>
      </c>
      <c r="H2" s="61">
        <f>$D$10*F2+$D$12</f>
        <v>5000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>
      <c r="A3" s="42" t="s">
        <v>59</v>
      </c>
      <c r="B3" s="43" t="s">
        <v>60</v>
      </c>
      <c r="C3" s="41"/>
      <c r="D3" s="41"/>
      <c r="E3" s="41"/>
      <c r="F3" s="64">
        <v>1500</v>
      </c>
      <c r="G3" s="64">
        <v>7000</v>
      </c>
      <c r="H3" s="61">
        <f t="shared" ref="H3:H21" si="0">$D$10*F3+$D$12</f>
        <v>7000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>
      <c r="A4" s="42" t="s">
        <v>61</v>
      </c>
      <c r="B4" s="43" t="s">
        <v>62</v>
      </c>
      <c r="C4" s="41"/>
      <c r="D4" s="41"/>
      <c r="E4" s="41"/>
      <c r="F4" s="64">
        <v>2000</v>
      </c>
      <c r="G4" s="64">
        <v>9000</v>
      </c>
      <c r="H4" s="61">
        <f t="shared" si="0"/>
        <v>9000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>
      <c r="A5" s="42" t="s">
        <v>63</v>
      </c>
      <c r="B5" s="43" t="s">
        <v>64</v>
      </c>
      <c r="C5" s="41"/>
      <c r="D5" s="41"/>
      <c r="E5" s="41"/>
      <c r="F5" s="64">
        <v>2500</v>
      </c>
      <c r="G5" s="64">
        <v>11000</v>
      </c>
      <c r="H5" s="61">
        <f t="shared" si="0"/>
        <v>11000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>
      <c r="A6" s="42">
        <v>5</v>
      </c>
      <c r="B6" s="43" t="s">
        <v>65</v>
      </c>
      <c r="C6" s="41"/>
      <c r="D6" s="41"/>
      <c r="E6" s="41"/>
      <c r="F6" s="64">
        <v>3000</v>
      </c>
      <c r="G6" s="64">
        <v>13000</v>
      </c>
      <c r="H6" s="61">
        <f t="shared" si="0"/>
        <v>13000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>
      <c r="A7" s="41"/>
      <c r="B7" s="41"/>
      <c r="C7" s="41"/>
      <c r="D7" s="41"/>
      <c r="E7" s="41"/>
      <c r="F7" s="64">
        <v>3500</v>
      </c>
      <c r="G7" s="64">
        <v>15000</v>
      </c>
      <c r="H7" s="61">
        <f t="shared" si="0"/>
        <v>15000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>
      <c r="A8" s="41"/>
      <c r="B8" s="56" t="s">
        <v>58</v>
      </c>
      <c r="C8" s="57" t="s">
        <v>73</v>
      </c>
      <c r="D8" s="58">
        <f>D10*D11+D12</f>
        <v>5000</v>
      </c>
      <c r="E8" s="41"/>
      <c r="F8" s="64">
        <v>4000</v>
      </c>
      <c r="G8" s="64">
        <v>17000</v>
      </c>
      <c r="H8" s="61">
        <f t="shared" si="0"/>
        <v>17000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>
      <c r="A9" s="41"/>
      <c r="B9" s="58"/>
      <c r="C9" s="57" t="s">
        <v>74</v>
      </c>
      <c r="D9" s="57" t="s">
        <v>34</v>
      </c>
      <c r="E9" s="41"/>
      <c r="F9" s="64">
        <v>4500</v>
      </c>
      <c r="G9" s="64">
        <v>19000</v>
      </c>
      <c r="H9" s="61">
        <f t="shared" si="0"/>
        <v>19000</v>
      </c>
      <c r="I9" s="41"/>
      <c r="J9" s="41"/>
      <c r="K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>
      <c r="A10" s="41"/>
      <c r="B10" s="58"/>
      <c r="C10" s="57" t="s">
        <v>75</v>
      </c>
      <c r="D10" s="58">
        <f>SLOPE(G2:G21,F2:F21)</f>
        <v>4</v>
      </c>
      <c r="E10" s="41"/>
      <c r="F10" s="64">
        <v>5000</v>
      </c>
      <c r="G10" s="64">
        <v>21000</v>
      </c>
      <c r="H10" s="61">
        <f t="shared" si="0"/>
        <v>21000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>
      <c r="A11" s="41"/>
      <c r="B11" s="58"/>
      <c r="C11" s="57" t="s">
        <v>76</v>
      </c>
      <c r="D11" s="58">
        <v>1000</v>
      </c>
      <c r="E11" s="41"/>
      <c r="F11" s="64">
        <v>5500</v>
      </c>
      <c r="G11" s="64">
        <v>23000</v>
      </c>
      <c r="H11" s="61">
        <f t="shared" si="0"/>
        <v>23000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>
      <c r="A12" s="41"/>
      <c r="B12" s="58"/>
      <c r="C12" s="57" t="s">
        <v>77</v>
      </c>
      <c r="D12" s="58">
        <f>INTERCEPT(G2:G21,F2:F21)</f>
        <v>1000</v>
      </c>
      <c r="E12" s="41"/>
      <c r="F12" s="64">
        <v>6000</v>
      </c>
      <c r="G12" s="64">
        <v>25000</v>
      </c>
      <c r="H12" s="61">
        <f t="shared" si="0"/>
        <v>25000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>
      <c r="A13" s="41"/>
      <c r="B13" s="41"/>
      <c r="C13" s="41"/>
      <c r="D13" s="41"/>
      <c r="E13" s="41"/>
      <c r="F13" s="64">
        <v>6500</v>
      </c>
      <c r="G13" s="64">
        <v>27000</v>
      </c>
      <c r="H13" s="61">
        <f t="shared" si="0"/>
        <v>27000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>
      <c r="A14" s="41"/>
      <c r="B14" s="41"/>
      <c r="C14" s="41"/>
      <c r="D14" s="41"/>
      <c r="E14" s="41"/>
      <c r="F14" s="64">
        <v>7000</v>
      </c>
      <c r="G14" s="64">
        <v>29000</v>
      </c>
      <c r="H14" s="61">
        <f t="shared" si="0"/>
        <v>29000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>
      <c r="A15" s="41"/>
      <c r="B15" s="59" t="s">
        <v>60</v>
      </c>
      <c r="C15" s="58"/>
      <c r="D15" s="58"/>
      <c r="E15" s="41"/>
      <c r="F15" s="64">
        <v>7500</v>
      </c>
      <c r="G15" s="64">
        <v>31000</v>
      </c>
      <c r="H15" s="61">
        <f t="shared" si="0"/>
        <v>31000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43.2">
      <c r="A16" s="41"/>
      <c r="B16" s="60" t="s">
        <v>78</v>
      </c>
      <c r="C16" s="57" t="s">
        <v>77</v>
      </c>
      <c r="D16" s="58">
        <f>INTERCEPT(G6:G25,F6:F25)</f>
        <v>1000</v>
      </c>
      <c r="E16" s="41"/>
      <c r="F16" s="64">
        <v>8000</v>
      </c>
      <c r="G16" s="64">
        <v>33000</v>
      </c>
      <c r="H16" s="61">
        <f t="shared" si="0"/>
        <v>33000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>
      <c r="A17" s="41"/>
      <c r="B17" s="41"/>
      <c r="C17" s="41"/>
      <c r="D17" s="41"/>
      <c r="E17" s="41"/>
      <c r="F17" s="64">
        <v>8500</v>
      </c>
      <c r="G17" s="64">
        <v>35000</v>
      </c>
      <c r="H17" s="61">
        <f t="shared" si="0"/>
        <v>35000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>
      <c r="A18" s="41"/>
      <c r="B18" s="58"/>
      <c r="C18" s="57" t="s">
        <v>79</v>
      </c>
      <c r="D18" s="57" t="s">
        <v>80</v>
      </c>
      <c r="E18" s="41"/>
      <c r="F18" s="64">
        <v>9000</v>
      </c>
      <c r="G18" s="64">
        <v>37000</v>
      </c>
      <c r="H18" s="61">
        <f t="shared" si="0"/>
        <v>37000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>
      <c r="A19" s="41"/>
      <c r="B19" s="59" t="s">
        <v>62</v>
      </c>
      <c r="C19" s="58" cm="1">
        <f t="array" ref="C19:D19">LINEST(G2:G21,F2:F21,TRUE,FALSE)</f>
        <v>4</v>
      </c>
      <c r="D19" s="58">
        <v>1000</v>
      </c>
      <c r="E19" s="41"/>
      <c r="F19" s="64">
        <v>9500</v>
      </c>
      <c r="G19" s="64">
        <v>39000</v>
      </c>
      <c r="H19" s="61">
        <f t="shared" si="0"/>
        <v>39000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>
      <c r="A20" s="41"/>
      <c r="B20" s="41"/>
      <c r="C20" s="41"/>
      <c r="D20" s="41"/>
      <c r="E20" s="41"/>
      <c r="F20" s="64">
        <v>10000</v>
      </c>
      <c r="G20" s="64">
        <v>41000</v>
      </c>
      <c r="H20" s="61">
        <f t="shared" si="0"/>
        <v>41000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>
      <c r="A21" s="41"/>
      <c r="B21" s="56" t="s">
        <v>65</v>
      </c>
      <c r="C21" s="62" t="s">
        <v>82</v>
      </c>
      <c r="D21" s="58">
        <f>RSQ(G2:G21,F2:F21)</f>
        <v>1</v>
      </c>
      <c r="E21" s="41"/>
      <c r="F21" s="64">
        <v>10500</v>
      </c>
      <c r="G21" s="64">
        <v>43000</v>
      </c>
      <c r="H21" s="61">
        <f t="shared" si="0"/>
        <v>43000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43.2">
      <c r="A22" s="41"/>
      <c r="B22" s="60" t="s">
        <v>81</v>
      </c>
      <c r="C22" s="58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EBC5-0CA5-4F44-886C-E069FB758810}">
  <dimension ref="A1:B15"/>
  <sheetViews>
    <sheetView workbookViewId="0">
      <selection activeCell="D4" sqref="D4"/>
    </sheetView>
  </sheetViews>
  <sheetFormatPr defaultRowHeight="14.4"/>
  <cols>
    <col min="1" max="1" width="16.5546875" bestFit="1" customWidth="1"/>
    <col min="2" max="2" width="12.6640625" bestFit="1" customWidth="1"/>
  </cols>
  <sheetData>
    <row r="1" spans="1:2">
      <c r="A1" s="71" t="s">
        <v>85</v>
      </c>
      <c r="B1" s="71"/>
    </row>
    <row r="2" spans="1:2">
      <c r="A2" s="68"/>
      <c r="B2" s="68"/>
    </row>
    <row r="3" spans="1:2">
      <c r="A3" s="68" t="s">
        <v>101</v>
      </c>
      <c r="B3" s="68">
        <v>33950</v>
      </c>
    </row>
    <row r="4" spans="1:2">
      <c r="A4" s="68" t="s">
        <v>102</v>
      </c>
      <c r="B4" s="68">
        <v>4084.2927623299788</v>
      </c>
    </row>
    <row r="5" spans="1:2">
      <c r="A5" s="68" t="s">
        <v>103</v>
      </c>
      <c r="B5" s="68">
        <v>25500</v>
      </c>
    </row>
    <row r="6" spans="1:2">
      <c r="A6" s="68" t="s">
        <v>104</v>
      </c>
      <c r="B6" s="68">
        <v>20000</v>
      </c>
    </row>
    <row r="7" spans="1:2">
      <c r="A7" s="68" t="s">
        <v>105</v>
      </c>
      <c r="B7" s="68">
        <v>18265.512513160451</v>
      </c>
    </row>
    <row r="8" spans="1:2">
      <c r="A8" s="68" t="s">
        <v>106</v>
      </c>
      <c r="B8" s="68">
        <v>333628947.36842108</v>
      </c>
    </row>
    <row r="9" spans="1:2">
      <c r="A9" s="68" t="s">
        <v>107</v>
      </c>
      <c r="B9" s="68">
        <v>-1.4219296530358094</v>
      </c>
    </row>
    <row r="10" spans="1:2">
      <c r="A10" s="68" t="s">
        <v>108</v>
      </c>
      <c r="B10" s="68">
        <v>0.65439616063081407</v>
      </c>
    </row>
    <row r="11" spans="1:2">
      <c r="A11" s="68" t="s">
        <v>109</v>
      </c>
      <c r="B11" s="68">
        <v>50000</v>
      </c>
    </row>
    <row r="12" spans="1:2">
      <c r="A12" s="68" t="s">
        <v>110</v>
      </c>
      <c r="B12" s="68">
        <v>15000</v>
      </c>
    </row>
    <row r="13" spans="1:2">
      <c r="A13" s="68" t="s">
        <v>111</v>
      </c>
      <c r="B13" s="68">
        <v>65000</v>
      </c>
    </row>
    <row r="14" spans="1:2">
      <c r="A14" s="68" t="s">
        <v>112</v>
      </c>
      <c r="B14" s="68">
        <v>679000</v>
      </c>
    </row>
    <row r="15" spans="1:2" ht="15" thickBot="1">
      <c r="A15" s="69" t="s">
        <v>113</v>
      </c>
      <c r="B15" s="6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3E88-40A0-4AE7-BC59-47B630A55C37}">
  <dimension ref="A1:I18"/>
  <sheetViews>
    <sheetView workbookViewId="0">
      <selection activeCell="F6" sqref="F6"/>
    </sheetView>
  </sheetViews>
  <sheetFormatPr defaultRowHeight="14.4"/>
  <cols>
    <col min="1" max="1" width="18" bestFit="1" customWidth="1"/>
    <col min="2" max="2" width="12" bestFit="1" customWidth="1"/>
    <col min="3" max="3" width="13.44140625" bestFit="1" customWidth="1"/>
    <col min="4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>
      <c r="A1" t="s">
        <v>115</v>
      </c>
    </row>
    <row r="2" spans="1:9" ht="15" thickBot="1"/>
    <row r="3" spans="1:9">
      <c r="A3" s="71" t="s">
        <v>116</v>
      </c>
      <c r="B3" s="71"/>
    </row>
    <row r="4" spans="1:9">
      <c r="A4" s="68" t="s">
        <v>117</v>
      </c>
      <c r="B4" s="68">
        <v>9.8142149298600462E-2</v>
      </c>
    </row>
    <row r="5" spans="1:9">
      <c r="A5" s="68" t="s">
        <v>118</v>
      </c>
      <c r="B5" s="68">
        <v>9.6318814689487827E-3</v>
      </c>
    </row>
    <row r="6" spans="1:9">
      <c r="A6" s="68" t="s">
        <v>119</v>
      </c>
      <c r="B6" s="68">
        <v>-4.5388569560554065E-2</v>
      </c>
    </row>
    <row r="7" spans="1:9">
      <c r="A7" s="68" t="s">
        <v>102</v>
      </c>
      <c r="B7" s="68">
        <v>18675.435418042252</v>
      </c>
    </row>
    <row r="8" spans="1:9" ht="15" thickBot="1">
      <c r="A8" s="69" t="s">
        <v>120</v>
      </c>
      <c r="B8" s="69">
        <v>20</v>
      </c>
    </row>
    <row r="10" spans="1:9" ht="15" thickBot="1">
      <c r="A10" t="s">
        <v>121</v>
      </c>
    </row>
    <row r="11" spans="1:9">
      <c r="A11" s="70"/>
      <c r="B11" s="70" t="s">
        <v>126</v>
      </c>
      <c r="C11" s="70" t="s">
        <v>127</v>
      </c>
      <c r="D11" s="70" t="s">
        <v>128</v>
      </c>
      <c r="E11" s="70" t="s">
        <v>129</v>
      </c>
      <c r="F11" s="70" t="s">
        <v>130</v>
      </c>
    </row>
    <row r="12" spans="1:9">
      <c r="A12" s="68" t="s">
        <v>122</v>
      </c>
      <c r="B12" s="68">
        <v>1</v>
      </c>
      <c r="C12" s="68">
        <v>61056015.037592888</v>
      </c>
      <c r="D12" s="68">
        <v>61056015.037592888</v>
      </c>
      <c r="E12" s="68">
        <v>0.17506002384066272</v>
      </c>
      <c r="F12" s="68">
        <v>0.68060299200880392</v>
      </c>
    </row>
    <row r="13" spans="1:9">
      <c r="A13" s="68" t="s">
        <v>123</v>
      </c>
      <c r="B13" s="68">
        <v>18</v>
      </c>
      <c r="C13" s="68">
        <v>6277893984.9624071</v>
      </c>
      <c r="D13" s="68">
        <v>348771888.05346704</v>
      </c>
      <c r="E13" s="68"/>
      <c r="F13" s="68"/>
    </row>
    <row r="14" spans="1:9" ht="15" thickBot="1">
      <c r="A14" s="69" t="s">
        <v>124</v>
      </c>
      <c r="B14" s="69">
        <v>19</v>
      </c>
      <c r="C14" s="69">
        <v>6338950000</v>
      </c>
      <c r="D14" s="69"/>
      <c r="E14" s="69"/>
      <c r="F14" s="69"/>
    </row>
    <row r="15" spans="1:9" ht="15" thickBot="1"/>
    <row r="16" spans="1:9">
      <c r="A16" s="70"/>
      <c r="B16" s="70" t="s">
        <v>131</v>
      </c>
      <c r="C16" s="70" t="s">
        <v>102</v>
      </c>
      <c r="D16" s="70" t="s">
        <v>132</v>
      </c>
      <c r="E16" s="70" t="s">
        <v>133</v>
      </c>
      <c r="F16" s="70" t="s">
        <v>134</v>
      </c>
      <c r="G16" s="70" t="s">
        <v>135</v>
      </c>
      <c r="H16" s="70" t="s">
        <v>136</v>
      </c>
      <c r="I16" s="70" t="s">
        <v>137</v>
      </c>
    </row>
    <row r="17" spans="1:9">
      <c r="A17" s="68" t="s">
        <v>125</v>
      </c>
      <c r="B17" s="68">
        <v>30465.413533834584</v>
      </c>
      <c r="C17" s="68">
        <v>9316.6313794162215</v>
      </c>
      <c r="D17" s="68">
        <v>3.2700031044636586</v>
      </c>
      <c r="E17" s="68">
        <v>4.2536883455665496E-3</v>
      </c>
      <c r="F17" s="68">
        <v>10891.897328017782</v>
      </c>
      <c r="G17" s="68">
        <v>50038.929739651387</v>
      </c>
      <c r="H17" s="68">
        <v>10891.897328017782</v>
      </c>
      <c r="I17" s="68">
        <v>50038.929739651387</v>
      </c>
    </row>
    <row r="18" spans="1:9" ht="15" thickBot="1">
      <c r="A18" s="69" t="s">
        <v>114</v>
      </c>
      <c r="B18" s="69">
        <v>0.60601503759398512</v>
      </c>
      <c r="C18" s="69">
        <v>1.4484046459352162</v>
      </c>
      <c r="D18" s="69">
        <v>0.41840174932792279</v>
      </c>
      <c r="E18" s="69">
        <v>0.68060299200880126</v>
      </c>
      <c r="F18" s="69">
        <v>-2.4369702062388274</v>
      </c>
      <c r="G18" s="69">
        <v>3.6490002814267974</v>
      </c>
      <c r="H18" s="69">
        <v>-2.4369702062388274</v>
      </c>
      <c r="I18" s="69">
        <v>3.6490002814267974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C292-18D0-4639-A7E3-5FE775353F47}">
  <dimension ref="A3:E9"/>
  <sheetViews>
    <sheetView workbookViewId="0">
      <selection activeCell="H9" sqref="H9"/>
    </sheetView>
  </sheetViews>
  <sheetFormatPr defaultRowHeight="14.4"/>
  <cols>
    <col min="1" max="1" width="12.5546875" bestFit="1" customWidth="1"/>
    <col min="2" max="2" width="15.5546875" bestFit="1" customWidth="1"/>
    <col min="3" max="4" width="7" bestFit="1" customWidth="1"/>
    <col min="5" max="5" width="10.77734375" bestFit="1" customWidth="1"/>
    <col min="6" max="6" width="8" bestFit="1" customWidth="1"/>
    <col min="7" max="7" width="10.6640625" bestFit="1" customWidth="1"/>
    <col min="8" max="8" width="8" bestFit="1" customWidth="1"/>
    <col min="9" max="9" width="10.6640625" bestFit="1" customWidth="1"/>
    <col min="10" max="10" width="8" bestFit="1" customWidth="1"/>
    <col min="11" max="11" width="10.6640625" bestFit="1" customWidth="1"/>
    <col min="12" max="12" width="8" bestFit="1" customWidth="1"/>
    <col min="13" max="13" width="6.21875" bestFit="1" customWidth="1"/>
    <col min="14" max="14" width="10.6640625" bestFit="1" customWidth="1"/>
    <col min="15" max="15" width="8" bestFit="1" customWidth="1"/>
    <col min="16" max="16" width="10.6640625" bestFit="1" customWidth="1"/>
    <col min="17" max="17" width="8" bestFit="1" customWidth="1"/>
    <col min="18" max="18" width="10.6640625" bestFit="1" customWidth="1"/>
    <col min="19" max="19" width="8" bestFit="1" customWidth="1"/>
    <col min="20" max="20" width="10.6640625" bestFit="1" customWidth="1"/>
    <col min="21" max="21" width="8" bestFit="1" customWidth="1"/>
    <col min="22" max="22" width="10.6640625" bestFit="1" customWidth="1"/>
    <col min="23" max="23" width="8" bestFit="1" customWidth="1"/>
    <col min="24" max="24" width="10.6640625" bestFit="1" customWidth="1"/>
    <col min="25" max="25" width="8" bestFit="1" customWidth="1"/>
    <col min="26" max="26" width="10.6640625" bestFit="1" customWidth="1"/>
    <col min="27" max="27" width="8" bestFit="1" customWidth="1"/>
    <col min="28" max="28" width="10.6640625" bestFit="1" customWidth="1"/>
    <col min="29" max="29" width="8" bestFit="1" customWidth="1"/>
    <col min="30" max="30" width="10.6640625" bestFit="1" customWidth="1"/>
    <col min="31" max="31" width="8" bestFit="1" customWidth="1"/>
    <col min="32" max="32" width="10.6640625" bestFit="1" customWidth="1"/>
    <col min="33" max="33" width="8" bestFit="1" customWidth="1"/>
    <col min="34" max="34" width="10.6640625" bestFit="1" customWidth="1"/>
    <col min="35" max="35" width="8" bestFit="1" customWidth="1"/>
    <col min="36" max="36" width="10.6640625" bestFit="1" customWidth="1"/>
    <col min="37" max="37" width="8" bestFit="1" customWidth="1"/>
    <col min="38" max="38" width="10.6640625" bestFit="1" customWidth="1"/>
    <col min="39" max="39" width="8" bestFit="1" customWidth="1"/>
    <col min="40" max="40" width="10.6640625" bestFit="1" customWidth="1"/>
    <col min="41" max="41" width="10.77734375" bestFit="1" customWidth="1"/>
  </cols>
  <sheetData>
    <row r="3" spans="1:5">
      <c r="A3" s="72" t="s">
        <v>143</v>
      </c>
      <c r="B3" s="72" t="s">
        <v>142</v>
      </c>
    </row>
    <row r="4" spans="1:5">
      <c r="A4" s="72" t="s">
        <v>140</v>
      </c>
      <c r="B4" t="s">
        <v>88</v>
      </c>
      <c r="C4" t="s">
        <v>91</v>
      </c>
      <c r="D4" t="s">
        <v>93</v>
      </c>
      <c r="E4" t="s">
        <v>141</v>
      </c>
    </row>
    <row r="5" spans="1:5">
      <c r="A5" s="73" t="s">
        <v>92</v>
      </c>
      <c r="B5" s="74">
        <v>125000</v>
      </c>
      <c r="C5" s="74">
        <v>24000</v>
      </c>
      <c r="D5" s="74">
        <v>34000</v>
      </c>
      <c r="E5" s="74">
        <v>183000</v>
      </c>
    </row>
    <row r="6" spans="1:5">
      <c r="A6" s="73" t="s">
        <v>87</v>
      </c>
      <c r="B6" s="74">
        <v>108000</v>
      </c>
      <c r="C6" s="74">
        <v>49000</v>
      </c>
      <c r="D6" s="74">
        <v>17000</v>
      </c>
      <c r="E6" s="74">
        <v>174000</v>
      </c>
    </row>
    <row r="7" spans="1:5">
      <c r="A7" s="73" t="s">
        <v>90</v>
      </c>
      <c r="B7" s="74">
        <v>52000</v>
      </c>
      <c r="C7" s="74">
        <v>46000</v>
      </c>
      <c r="D7" s="74">
        <v>38000</v>
      </c>
      <c r="E7" s="74">
        <v>136000</v>
      </c>
    </row>
    <row r="8" spans="1:5">
      <c r="A8" s="73" t="s">
        <v>94</v>
      </c>
      <c r="B8" s="74">
        <v>117000</v>
      </c>
      <c r="C8" s="74">
        <v>53000</v>
      </c>
      <c r="D8" s="74">
        <v>16000</v>
      </c>
      <c r="E8" s="74">
        <v>186000</v>
      </c>
    </row>
    <row r="9" spans="1:5">
      <c r="A9" s="73" t="s">
        <v>141</v>
      </c>
      <c r="B9" s="74">
        <v>402000</v>
      </c>
      <c r="C9" s="74">
        <v>172000</v>
      </c>
      <c r="D9" s="74">
        <v>105000</v>
      </c>
      <c r="E9" s="74">
        <v>679000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7AAF-1F47-4A7E-8FDB-7B3C6B79C442}">
  <dimension ref="A1:G17"/>
  <sheetViews>
    <sheetView workbookViewId="0">
      <selection activeCell="G5" sqref="G5"/>
    </sheetView>
  </sheetViews>
  <sheetFormatPr defaultRowHeight="14.4"/>
  <cols>
    <col min="1" max="1" width="17.6640625" bestFit="1" customWidth="1"/>
    <col min="2" max="2" width="12" bestFit="1" customWidth="1"/>
    <col min="3" max="3" width="7" bestFit="1" customWidth="1"/>
    <col min="4" max="7" width="12" bestFit="1" customWidth="1"/>
  </cols>
  <sheetData>
    <row r="1" spans="1:7">
      <c r="A1" t="s">
        <v>145</v>
      </c>
    </row>
    <row r="3" spans="1:7" ht="15" thickBot="1">
      <c r="A3" t="s">
        <v>146</v>
      </c>
    </row>
    <row r="4" spans="1:7">
      <c r="A4" s="70" t="s">
        <v>147</v>
      </c>
      <c r="B4" s="70" t="s">
        <v>113</v>
      </c>
      <c r="C4" s="70" t="s">
        <v>112</v>
      </c>
      <c r="D4" s="70" t="s">
        <v>148</v>
      </c>
      <c r="E4" s="70" t="s">
        <v>149</v>
      </c>
    </row>
    <row r="5" spans="1:7">
      <c r="A5" s="68" t="s">
        <v>150</v>
      </c>
      <c r="B5" s="68">
        <v>3</v>
      </c>
      <c r="C5" s="68">
        <v>183000</v>
      </c>
      <c r="D5" s="68">
        <v>61000</v>
      </c>
      <c r="E5" s="68">
        <v>3097000000</v>
      </c>
    </row>
    <row r="6" spans="1:7">
      <c r="A6" s="68" t="s">
        <v>151</v>
      </c>
      <c r="B6" s="68">
        <v>3</v>
      </c>
      <c r="C6" s="68">
        <v>174000</v>
      </c>
      <c r="D6" s="68">
        <v>58000</v>
      </c>
      <c r="E6" s="68">
        <v>2131000000</v>
      </c>
    </row>
    <row r="7" spans="1:7">
      <c r="A7" s="68" t="s">
        <v>152</v>
      </c>
      <c r="B7" s="68">
        <v>3</v>
      </c>
      <c r="C7" s="68">
        <v>136000</v>
      </c>
      <c r="D7" s="68">
        <v>45333.333333333336</v>
      </c>
      <c r="E7" s="68">
        <v>49333333.333333492</v>
      </c>
    </row>
    <row r="8" spans="1:7">
      <c r="A8" s="68" t="s">
        <v>153</v>
      </c>
      <c r="B8" s="68">
        <v>3</v>
      </c>
      <c r="C8" s="68">
        <v>186000</v>
      </c>
      <c r="D8" s="68">
        <v>62000</v>
      </c>
      <c r="E8" s="68">
        <v>2611000000</v>
      </c>
    </row>
    <row r="9" spans="1:7" ht="15" thickBot="1">
      <c r="A9" s="69" t="s">
        <v>154</v>
      </c>
      <c r="B9" s="69">
        <v>3</v>
      </c>
      <c r="C9" s="69">
        <v>679000</v>
      </c>
      <c r="D9" s="69">
        <v>226333.33333333334</v>
      </c>
      <c r="E9" s="69">
        <v>24266333333.333328</v>
      </c>
    </row>
    <row r="12" spans="1:7" ht="15" thickBot="1">
      <c r="A12" t="s">
        <v>121</v>
      </c>
    </row>
    <row r="13" spans="1:7">
      <c r="A13" s="70" t="s">
        <v>155</v>
      </c>
      <c r="B13" s="70" t="s">
        <v>127</v>
      </c>
      <c r="C13" s="70" t="s">
        <v>126</v>
      </c>
      <c r="D13" s="70" t="s">
        <v>128</v>
      </c>
      <c r="E13" s="70" t="s">
        <v>129</v>
      </c>
      <c r="F13" s="70" t="s">
        <v>133</v>
      </c>
      <c r="G13" s="70" t="s">
        <v>156</v>
      </c>
    </row>
    <row r="14" spans="1:7">
      <c r="A14" s="68" t="s">
        <v>157</v>
      </c>
      <c r="B14" s="68">
        <v>69688400000</v>
      </c>
      <c r="C14" s="68">
        <v>4</v>
      </c>
      <c r="D14" s="68">
        <v>17422100000</v>
      </c>
      <c r="E14" s="68">
        <v>2.7091090976944767</v>
      </c>
      <c r="F14" s="68">
        <v>9.167024538829123E-2</v>
      </c>
      <c r="G14" s="68">
        <v>3.4780496907652281</v>
      </c>
    </row>
    <row r="15" spans="1:7">
      <c r="A15" s="68" t="s">
        <v>158</v>
      </c>
      <c r="B15" s="68">
        <v>64309333333.333328</v>
      </c>
      <c r="C15" s="68">
        <v>10</v>
      </c>
      <c r="D15" s="68">
        <v>6430933333.333333</v>
      </c>
      <c r="E15" s="68"/>
      <c r="F15" s="68"/>
      <c r="G15" s="68"/>
    </row>
    <row r="16" spans="1:7">
      <c r="A16" s="68"/>
      <c r="B16" s="68"/>
      <c r="C16" s="68"/>
      <c r="D16" s="68"/>
      <c r="E16" s="68"/>
      <c r="F16" s="68"/>
      <c r="G16" s="68"/>
    </row>
    <row r="17" spans="1:7" ht="15" thickBot="1">
      <c r="A17" s="69" t="s">
        <v>124</v>
      </c>
      <c r="B17" s="69">
        <v>133997733333.33333</v>
      </c>
      <c r="C17" s="69">
        <v>14</v>
      </c>
      <c r="D17" s="69"/>
      <c r="E17" s="69"/>
      <c r="F17" s="69"/>
      <c r="G17" s="6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0DBB-03BF-494D-BB89-A592D962D2EC}">
  <dimension ref="A1:B6"/>
  <sheetViews>
    <sheetView workbookViewId="0">
      <selection activeCell="H16" sqref="H16"/>
    </sheetView>
  </sheetViews>
  <sheetFormatPr defaultRowHeight="14.4"/>
  <cols>
    <col min="1" max="1" width="6" bestFit="1" customWidth="1"/>
  </cols>
  <sheetData>
    <row r="1" spans="1:2">
      <c r="A1" s="70" t="s">
        <v>160</v>
      </c>
      <c r="B1" s="70" t="s">
        <v>162</v>
      </c>
    </row>
    <row r="2" spans="1:2">
      <c r="A2" s="68">
        <v>15000</v>
      </c>
      <c r="B2" s="68">
        <v>1</v>
      </c>
    </row>
    <row r="3" spans="1:2">
      <c r="A3" s="68">
        <v>27500</v>
      </c>
      <c r="B3" s="68">
        <v>11</v>
      </c>
    </row>
    <row r="4" spans="1:2">
      <c r="A4" s="68">
        <v>40000</v>
      </c>
      <c r="B4" s="68">
        <v>1</v>
      </c>
    </row>
    <row r="5" spans="1:2">
      <c r="A5" s="68">
        <v>52500</v>
      </c>
      <c r="B5" s="68">
        <v>2</v>
      </c>
    </row>
    <row r="6" spans="1:2" ht="15" thickBot="1">
      <c r="A6" s="69" t="s">
        <v>161</v>
      </c>
      <c r="B6" s="69">
        <v>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C5" sqref="C5"/>
    </sheetView>
  </sheetViews>
  <sheetFormatPr defaultColWidth="14.44140625" defaultRowHeight="15" customHeight="1"/>
  <cols>
    <col min="1" max="1" width="8.6640625" customWidth="1"/>
    <col min="2" max="2" width="53.5546875" customWidth="1"/>
    <col min="3" max="3" width="27.77734375" bestFit="1" customWidth="1"/>
    <col min="4" max="9" width="8.6640625" customWidth="1"/>
    <col min="10" max="10" width="18" customWidth="1"/>
    <col min="11" max="11" width="14.88671875" customWidth="1"/>
    <col min="12" max="26" width="8.6640625" customWidth="1"/>
  </cols>
  <sheetData>
    <row r="1" spans="1:26" ht="57.6">
      <c r="A1" s="40" t="s">
        <v>55</v>
      </c>
      <c r="B1" s="40" t="s">
        <v>56</v>
      </c>
      <c r="C1" s="41"/>
      <c r="D1" s="41"/>
      <c r="E1" s="41"/>
      <c r="F1" s="63" t="s">
        <v>83</v>
      </c>
      <c r="G1" s="63" t="s">
        <v>84</v>
      </c>
      <c r="H1" s="63" t="s">
        <v>85</v>
      </c>
      <c r="I1" s="63" t="s">
        <v>86</v>
      </c>
      <c r="K1" s="63" t="s">
        <v>114</v>
      </c>
      <c r="L1" s="63" t="s">
        <v>72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4.4">
      <c r="A2" s="42" t="s">
        <v>57</v>
      </c>
      <c r="B2" s="43" t="s">
        <v>66</v>
      </c>
      <c r="C2" s="41"/>
      <c r="D2" s="41"/>
      <c r="E2" s="41"/>
      <c r="F2" s="64" t="s">
        <v>87</v>
      </c>
      <c r="G2" s="64" t="s">
        <v>88</v>
      </c>
      <c r="H2" s="64">
        <v>50000</v>
      </c>
      <c r="I2" s="64" t="s">
        <v>89</v>
      </c>
      <c r="K2" s="64">
        <v>1000</v>
      </c>
      <c r="L2" s="64">
        <v>50000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4.4">
      <c r="A3" s="42" t="s">
        <v>59</v>
      </c>
      <c r="B3" s="43" t="s">
        <v>67</v>
      </c>
      <c r="C3" s="41"/>
      <c r="D3" s="41"/>
      <c r="E3" s="41"/>
      <c r="F3" s="64" t="s">
        <v>90</v>
      </c>
      <c r="G3" s="64" t="s">
        <v>91</v>
      </c>
      <c r="H3" s="64">
        <v>20000</v>
      </c>
      <c r="I3" s="64" t="s">
        <v>89</v>
      </c>
      <c r="K3" s="64">
        <v>1500</v>
      </c>
      <c r="L3" s="64">
        <v>20000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4.4">
      <c r="A4" s="42" t="s">
        <v>61</v>
      </c>
      <c r="B4" s="43" t="s">
        <v>68</v>
      </c>
      <c r="C4" s="41"/>
      <c r="D4" s="41"/>
      <c r="E4" s="41"/>
      <c r="F4" s="64" t="s">
        <v>92</v>
      </c>
      <c r="G4" s="64" t="s">
        <v>93</v>
      </c>
      <c r="H4" s="64">
        <v>15000</v>
      </c>
      <c r="I4" s="64" t="s">
        <v>89</v>
      </c>
      <c r="K4" s="64">
        <v>2000</v>
      </c>
      <c r="L4" s="64">
        <v>15000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4.4">
      <c r="A5" s="42" t="s">
        <v>63</v>
      </c>
      <c r="B5" s="43" t="s">
        <v>69</v>
      </c>
      <c r="C5" s="41"/>
      <c r="D5" s="41"/>
      <c r="E5" s="41"/>
      <c r="F5" s="64" t="s">
        <v>94</v>
      </c>
      <c r="G5" s="64" t="s">
        <v>88</v>
      </c>
      <c r="H5" s="64">
        <v>55000</v>
      </c>
      <c r="I5" s="64" t="s">
        <v>95</v>
      </c>
      <c r="K5" s="64">
        <v>2500</v>
      </c>
      <c r="L5" s="64">
        <v>55000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4.4">
      <c r="A6" s="42">
        <v>5</v>
      </c>
      <c r="B6" s="43" t="s">
        <v>70</v>
      </c>
      <c r="C6" s="41"/>
      <c r="D6" s="41"/>
      <c r="E6" s="41"/>
      <c r="F6" s="64" t="s">
        <v>87</v>
      </c>
      <c r="G6" s="64" t="s">
        <v>91</v>
      </c>
      <c r="H6" s="64">
        <v>22000</v>
      </c>
      <c r="I6" s="64" t="s">
        <v>95</v>
      </c>
      <c r="K6" s="64">
        <v>3000</v>
      </c>
      <c r="L6" s="64">
        <v>22000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4">
      <c r="A7" s="41"/>
      <c r="B7" s="41"/>
      <c r="C7" s="41"/>
      <c r="D7" s="41"/>
      <c r="E7" s="41"/>
      <c r="F7" s="64" t="s">
        <v>90</v>
      </c>
      <c r="G7" s="64" t="s">
        <v>93</v>
      </c>
      <c r="H7" s="64">
        <v>18000</v>
      </c>
      <c r="I7" s="64" t="s">
        <v>95</v>
      </c>
      <c r="K7" s="64">
        <v>3500</v>
      </c>
      <c r="L7" s="64">
        <v>18000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4">
      <c r="A8" s="41"/>
      <c r="B8" s="41"/>
      <c r="C8" s="41"/>
      <c r="D8" s="41"/>
      <c r="E8" s="41"/>
      <c r="F8" s="64" t="s">
        <v>92</v>
      </c>
      <c r="G8" s="64" t="s">
        <v>88</v>
      </c>
      <c r="H8" s="64">
        <v>60000</v>
      </c>
      <c r="I8" s="64" t="s">
        <v>96</v>
      </c>
      <c r="K8" s="64">
        <v>4000</v>
      </c>
      <c r="L8" s="64">
        <v>60000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4">
      <c r="A9" s="41"/>
      <c r="B9" s="56" t="s">
        <v>66</v>
      </c>
      <c r="C9" s="57" t="s">
        <v>139</v>
      </c>
      <c r="D9" s="41"/>
      <c r="E9" s="41"/>
      <c r="F9" s="64" t="s">
        <v>94</v>
      </c>
      <c r="G9" s="64" t="s">
        <v>91</v>
      </c>
      <c r="H9" s="64">
        <v>25000</v>
      </c>
      <c r="I9" s="64" t="s">
        <v>96</v>
      </c>
      <c r="K9" s="64">
        <v>4500</v>
      </c>
      <c r="L9" s="64">
        <v>25000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4">
      <c r="A10" s="41"/>
      <c r="B10" s="58"/>
      <c r="C10" s="58"/>
      <c r="D10" s="41"/>
      <c r="E10" s="41"/>
      <c r="F10" s="64" t="s">
        <v>87</v>
      </c>
      <c r="G10" s="64" t="s">
        <v>93</v>
      </c>
      <c r="H10" s="64">
        <v>17000</v>
      </c>
      <c r="I10" s="64" t="s">
        <v>96</v>
      </c>
      <c r="K10" s="64">
        <v>5000</v>
      </c>
      <c r="L10" s="64">
        <v>17000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4">
      <c r="A11" s="41"/>
      <c r="B11" s="58"/>
      <c r="C11" s="58"/>
      <c r="D11" s="41"/>
      <c r="E11" s="41"/>
      <c r="F11" s="64" t="s">
        <v>90</v>
      </c>
      <c r="G11" s="64" t="s">
        <v>88</v>
      </c>
      <c r="H11" s="64">
        <v>52000</v>
      </c>
      <c r="I11" s="64" t="s">
        <v>97</v>
      </c>
      <c r="K11" s="64">
        <v>5500</v>
      </c>
      <c r="L11" s="64">
        <v>52000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4">
      <c r="A12" s="41"/>
      <c r="B12" s="59" t="s">
        <v>67</v>
      </c>
      <c r="C12" s="57" t="s">
        <v>138</v>
      </c>
      <c r="D12" s="41"/>
      <c r="E12" s="41"/>
      <c r="F12" s="64" t="s">
        <v>92</v>
      </c>
      <c r="G12" s="64" t="s">
        <v>91</v>
      </c>
      <c r="H12" s="64">
        <v>24000</v>
      </c>
      <c r="I12" s="64" t="s">
        <v>97</v>
      </c>
      <c r="K12" s="64">
        <v>6000</v>
      </c>
      <c r="L12" s="64">
        <v>24000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4">
      <c r="A13" s="41"/>
      <c r="B13" s="58"/>
      <c r="C13" s="58"/>
      <c r="D13" s="41"/>
      <c r="E13" s="41"/>
      <c r="F13" s="64" t="s">
        <v>94</v>
      </c>
      <c r="G13" s="64" t="s">
        <v>93</v>
      </c>
      <c r="H13" s="64">
        <v>16000</v>
      </c>
      <c r="I13" s="64" t="s">
        <v>97</v>
      </c>
      <c r="K13" s="64">
        <v>6500</v>
      </c>
      <c r="L13" s="64">
        <v>16000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4">
      <c r="A14" s="41"/>
      <c r="B14" s="56" t="s">
        <v>68</v>
      </c>
      <c r="C14" s="57" t="s">
        <v>144</v>
      </c>
      <c r="D14" s="41"/>
      <c r="E14" s="41"/>
      <c r="F14" s="64" t="s">
        <v>87</v>
      </c>
      <c r="G14" s="64" t="s">
        <v>88</v>
      </c>
      <c r="H14" s="64">
        <v>58000</v>
      </c>
      <c r="I14" s="64" t="s">
        <v>98</v>
      </c>
      <c r="K14" s="64">
        <v>7000</v>
      </c>
      <c r="L14" s="64">
        <v>58000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4">
      <c r="A15" s="41"/>
      <c r="B15" s="58"/>
      <c r="C15" s="58"/>
      <c r="D15" s="41"/>
      <c r="E15" s="41"/>
      <c r="F15" s="64" t="s">
        <v>90</v>
      </c>
      <c r="G15" s="64" t="s">
        <v>91</v>
      </c>
      <c r="H15" s="64">
        <v>26000</v>
      </c>
      <c r="I15" s="64" t="s">
        <v>98</v>
      </c>
      <c r="K15" s="64">
        <v>7500</v>
      </c>
      <c r="L15" s="64">
        <v>26000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4">
      <c r="A16" s="41"/>
      <c r="B16" s="58"/>
      <c r="C16" s="58"/>
      <c r="D16" s="41"/>
      <c r="E16" s="41"/>
      <c r="F16" s="64" t="s">
        <v>92</v>
      </c>
      <c r="G16" s="64" t="s">
        <v>93</v>
      </c>
      <c r="H16" s="64">
        <v>19000</v>
      </c>
      <c r="I16" s="64" t="s">
        <v>98</v>
      </c>
      <c r="K16" s="64">
        <v>8000</v>
      </c>
      <c r="L16" s="64">
        <v>19000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4.4">
      <c r="A17" s="41"/>
      <c r="B17" s="56" t="s">
        <v>69</v>
      </c>
      <c r="C17" s="57" t="s">
        <v>159</v>
      </c>
      <c r="D17" s="41"/>
      <c r="E17" s="41"/>
      <c r="F17" s="64" t="s">
        <v>94</v>
      </c>
      <c r="G17" s="64" t="s">
        <v>88</v>
      </c>
      <c r="H17" s="64">
        <v>62000</v>
      </c>
      <c r="I17" s="64" t="s">
        <v>99</v>
      </c>
      <c r="K17" s="64">
        <v>8500</v>
      </c>
      <c r="L17" s="64">
        <v>62000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4.4">
      <c r="A18" s="41"/>
      <c r="B18" s="58"/>
      <c r="C18" s="58"/>
      <c r="D18" s="41"/>
      <c r="E18" s="41"/>
      <c r="F18" s="64" t="s">
        <v>87</v>
      </c>
      <c r="G18" s="64" t="s">
        <v>91</v>
      </c>
      <c r="H18" s="64">
        <v>27000</v>
      </c>
      <c r="I18" s="64" t="s">
        <v>99</v>
      </c>
      <c r="K18" s="64">
        <v>9000</v>
      </c>
      <c r="L18" s="64">
        <v>27000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4.4">
      <c r="A19" s="41"/>
      <c r="B19" s="56" t="s">
        <v>70</v>
      </c>
      <c r="C19" s="57" t="s">
        <v>163</v>
      </c>
      <c r="D19" s="41"/>
      <c r="E19" s="41"/>
      <c r="F19" s="64" t="s">
        <v>90</v>
      </c>
      <c r="G19" s="64" t="s">
        <v>93</v>
      </c>
      <c r="H19" s="64">
        <v>20000</v>
      </c>
      <c r="I19" s="64" t="s">
        <v>99</v>
      </c>
      <c r="K19" s="64">
        <v>9500</v>
      </c>
      <c r="L19" s="64">
        <v>20000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4.4">
      <c r="A20" s="41"/>
      <c r="B20" s="41"/>
      <c r="C20" s="41"/>
      <c r="D20" s="41"/>
      <c r="E20" s="41"/>
      <c r="F20" s="64" t="s">
        <v>92</v>
      </c>
      <c r="G20" s="64" t="s">
        <v>88</v>
      </c>
      <c r="H20" s="64">
        <v>65000</v>
      </c>
      <c r="I20" s="64" t="s">
        <v>100</v>
      </c>
      <c r="K20" s="64">
        <v>10000</v>
      </c>
      <c r="L20" s="64">
        <v>65000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>
      <c r="A21" s="41"/>
      <c r="B21" s="41"/>
      <c r="C21" s="41"/>
      <c r="D21" s="41"/>
      <c r="E21" s="41"/>
      <c r="F21" s="64" t="s">
        <v>94</v>
      </c>
      <c r="G21" s="64" t="s">
        <v>91</v>
      </c>
      <c r="H21" s="64">
        <v>28000</v>
      </c>
      <c r="I21" s="64" t="s">
        <v>100</v>
      </c>
      <c r="K21" s="64">
        <v>10500</v>
      </c>
      <c r="L21" s="64">
        <v>28000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Theory</vt:lpstr>
      <vt:lpstr>Pizza Price Prediction</vt:lpstr>
      <vt:lpstr>Lemonade Sold Prediction</vt:lpstr>
      <vt:lpstr>House Price Prediction</vt:lpstr>
      <vt:lpstr>Linear Regression</vt:lpstr>
      <vt:lpstr>descriptive </vt:lpstr>
      <vt:lpstr>regression</vt:lpstr>
      <vt:lpstr>pivot</vt:lpstr>
      <vt:lpstr>ANOVA</vt:lpstr>
      <vt:lpstr>histogram</vt:lpstr>
      <vt:lpstr>Data Analysis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2026-04-20T10:50:57Z</dcterms:modified>
</cp:coreProperties>
</file>