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d11af68ae4c0ef/Desktop/Lab  work/"/>
    </mc:Choice>
  </mc:AlternateContent>
  <xr:revisionPtr revIDLastSave="249" documentId="11_34B88A6502266D600E03935773A8BBC6E00D4432" xr6:coauthVersionLast="47" xr6:coauthVersionMax="47" xr10:uidLastSave="{A138B0F4-F304-48D4-AF1D-3B891F6802D5}"/>
  <bookViews>
    <workbookView xWindow="-108" yWindow="-108" windowWidth="23256" windowHeight="12456" activeTab="2" xr2:uid="{00000000-000D-0000-FFFF-FFFF00000000}"/>
  </bookViews>
  <sheets>
    <sheet name="VLOOKUP Function" sheetId="1" r:id="rId1"/>
    <sheet name="HLOOKUP Function" sheetId="2" r:id="rId2"/>
    <sheet name="INDEX and MATCH Fun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3" l="1"/>
  <c r="D18" i="3"/>
  <c r="D15" i="3"/>
  <c r="D12" i="3"/>
  <c r="D9" i="3"/>
  <c r="D21" i="2"/>
  <c r="D18" i="2"/>
  <c r="C15" i="2"/>
  <c r="D15" i="2" s="1"/>
  <c r="D12" i="2"/>
  <c r="D9" i="2"/>
  <c r="D22" i="1"/>
  <c r="D19" i="1"/>
  <c r="D16" i="1"/>
  <c r="D13" i="1"/>
  <c r="D10" i="1"/>
</calcChain>
</file>

<file path=xl/sharedStrings.xml><?xml version="1.0" encoding="utf-8"?>
<sst xmlns="http://schemas.openxmlformats.org/spreadsheetml/2006/main" count="517" uniqueCount="257">
  <si>
    <t>Task</t>
  </si>
  <si>
    <t>Instructions</t>
  </si>
  <si>
    <t>1</t>
  </si>
  <si>
    <t>Use VLOOKUP to find the price of a product from a product list.</t>
  </si>
  <si>
    <t>2</t>
  </si>
  <si>
    <t>Retrieve the department of an employee using VLOOKUP.</t>
  </si>
  <si>
    <t>3</t>
  </si>
  <si>
    <t>Find the grade of a student based on their marks using VLOOKUP.</t>
  </si>
  <si>
    <t>4</t>
  </si>
  <si>
    <t>Extract the email ID of a customer from a customer database using VLOOKUP.</t>
  </si>
  <si>
    <t>5</t>
  </si>
  <si>
    <t>Use VLOOKUP to get the supplier name based on product ID.</t>
  </si>
  <si>
    <t>Use HLOOKUP to find the sales figures for a specific month.</t>
  </si>
  <si>
    <t>Retrieve the tax rate for a given income bracket using HLOOKUP.</t>
  </si>
  <si>
    <t>Find the discount percentage for a product category using HLOOKUP.</t>
  </si>
  <si>
    <t>Use HLOOKUP to extract currency exchange rates for a given country.</t>
  </si>
  <si>
    <t>Find the passing percentage for an exam from a horizontal grading scale.</t>
  </si>
  <si>
    <t>Use INDEX and MATCH to find the salary of an employee based on their ID.</t>
  </si>
  <si>
    <t>Retrieve the city of a customer using INDEX and MATCH functions.</t>
  </si>
  <si>
    <t>Find the sales amount for a given salesperson using INDEX and MATCH.</t>
  </si>
  <si>
    <t>Use INDEX and MATCH to look up the stock quantity for a given product.</t>
  </si>
  <si>
    <t>Extract a student's name from a database based on roll number.</t>
  </si>
  <si>
    <t>Product ID</t>
  </si>
  <si>
    <t>Product Name</t>
  </si>
  <si>
    <t>Price</t>
  </si>
  <si>
    <t>Supplier</t>
  </si>
  <si>
    <t>P101</t>
  </si>
  <si>
    <t>Laptop</t>
  </si>
  <si>
    <t>Dell</t>
  </si>
  <si>
    <t>P102</t>
  </si>
  <si>
    <t>Mobile</t>
  </si>
  <si>
    <t>Samsung</t>
  </si>
  <si>
    <t>P103</t>
  </si>
  <si>
    <t>Tablet</t>
  </si>
  <si>
    <t>Lenovo</t>
  </si>
  <si>
    <t>P104</t>
  </si>
  <si>
    <t>Monitor</t>
  </si>
  <si>
    <t>LG</t>
  </si>
  <si>
    <t>P105</t>
  </si>
  <si>
    <t>Keyboard</t>
  </si>
  <si>
    <t>Logitech</t>
  </si>
  <si>
    <t>P106</t>
  </si>
  <si>
    <t>Mouse</t>
  </si>
  <si>
    <t>HP</t>
  </si>
  <si>
    <t>P107</t>
  </si>
  <si>
    <t>Printer</t>
  </si>
  <si>
    <t>Canon</t>
  </si>
  <si>
    <t>P108</t>
  </si>
  <si>
    <t>Camera</t>
  </si>
  <si>
    <t>Sony</t>
  </si>
  <si>
    <t>P109</t>
  </si>
  <si>
    <t>Speaker</t>
  </si>
  <si>
    <t>JBL</t>
  </si>
  <si>
    <t>P110</t>
  </si>
  <si>
    <t>Hard Disk</t>
  </si>
  <si>
    <t>Seagate</t>
  </si>
  <si>
    <t>P111</t>
  </si>
  <si>
    <t>SSD</t>
  </si>
  <si>
    <t>WD</t>
  </si>
  <si>
    <t>P112</t>
  </si>
  <si>
    <t>Router</t>
  </si>
  <si>
    <t>TP-Link</t>
  </si>
  <si>
    <t>P113</t>
  </si>
  <si>
    <t>Smartwatch</t>
  </si>
  <si>
    <t>Apple</t>
  </si>
  <si>
    <t>P114</t>
  </si>
  <si>
    <t>Earbuds</t>
  </si>
  <si>
    <t>Boat</t>
  </si>
  <si>
    <t>P115</t>
  </si>
  <si>
    <t>Power Bank</t>
  </si>
  <si>
    <t>Mi</t>
  </si>
  <si>
    <t>P116</t>
  </si>
  <si>
    <t>Charger</t>
  </si>
  <si>
    <t>P117</t>
  </si>
  <si>
    <t>Projector</t>
  </si>
  <si>
    <t>Epson</t>
  </si>
  <si>
    <t>P118</t>
  </si>
  <si>
    <t>TV</t>
  </si>
  <si>
    <t>P119</t>
  </si>
  <si>
    <t>Gaming Console</t>
  </si>
  <si>
    <t>P120</t>
  </si>
  <si>
    <t>Webcam</t>
  </si>
  <si>
    <t>USING VLOOKUP TO GET PRODUCT FROM PRODUCT ID</t>
  </si>
  <si>
    <t>PRODUCT NAME</t>
  </si>
  <si>
    <t>RETRIEVING DEPARTMENT USING VLOOKUP</t>
  </si>
  <si>
    <t>Emp ID</t>
  </si>
  <si>
    <t>Name</t>
  </si>
  <si>
    <t>Department</t>
  </si>
  <si>
    <t>E101</t>
  </si>
  <si>
    <t>Ahmed</t>
  </si>
  <si>
    <t>IT</t>
  </si>
  <si>
    <t>E102</t>
  </si>
  <si>
    <t>Rahul</t>
  </si>
  <si>
    <t>HR</t>
  </si>
  <si>
    <t>E103</t>
  </si>
  <si>
    <t>Sneha</t>
  </si>
  <si>
    <t>Finance</t>
  </si>
  <si>
    <t>E104</t>
  </si>
  <si>
    <t>Aman</t>
  </si>
  <si>
    <t>Marketing</t>
  </si>
  <si>
    <t>E105</t>
  </si>
  <si>
    <t>Priya</t>
  </si>
  <si>
    <t>E106</t>
  </si>
  <si>
    <t>Karan</t>
  </si>
  <si>
    <t>Sales</t>
  </si>
  <si>
    <t>E107</t>
  </si>
  <si>
    <t>Neha</t>
  </si>
  <si>
    <t>E108</t>
  </si>
  <si>
    <t>Rohan</t>
  </si>
  <si>
    <t>E109</t>
  </si>
  <si>
    <t>Meena</t>
  </si>
  <si>
    <t>E110</t>
  </si>
  <si>
    <t>Arjun</t>
  </si>
  <si>
    <t>E111</t>
  </si>
  <si>
    <t>Pooja</t>
  </si>
  <si>
    <t>E112</t>
  </si>
  <si>
    <t>Vivek</t>
  </si>
  <si>
    <t>E113</t>
  </si>
  <si>
    <t>Kavya</t>
  </si>
  <si>
    <t>E114</t>
  </si>
  <si>
    <t>Rohit</t>
  </si>
  <si>
    <t>E115</t>
  </si>
  <si>
    <t>Anjali</t>
  </si>
  <si>
    <t>E116</t>
  </si>
  <si>
    <t>Suresh</t>
  </si>
  <si>
    <t>E117</t>
  </si>
  <si>
    <t>Tina</t>
  </si>
  <si>
    <t>E118</t>
  </si>
  <si>
    <t>Manish</t>
  </si>
  <si>
    <t>E119</t>
  </si>
  <si>
    <t>Rekha</t>
  </si>
  <si>
    <t>E120</t>
  </si>
  <si>
    <t>Deepak</t>
  </si>
  <si>
    <t>SEARCH ID</t>
  </si>
  <si>
    <t>DEPARTMENT</t>
  </si>
  <si>
    <t>FIND GRADE OF STUDENT BASED ON MARKS</t>
  </si>
  <si>
    <t>Marks</t>
  </si>
  <si>
    <t>Grade</t>
  </si>
  <si>
    <t>F</t>
  </si>
  <si>
    <t>D</t>
  </si>
  <si>
    <t>C</t>
  </si>
  <si>
    <t>B</t>
  </si>
  <si>
    <t>A</t>
  </si>
  <si>
    <t>A+</t>
  </si>
  <si>
    <t>SEARCH MARKS</t>
  </si>
  <si>
    <t>GRADE</t>
  </si>
  <si>
    <t>EXTRACTING EMAIL ID FROM CUSTOMER DATABASE</t>
  </si>
  <si>
    <t>Customer ID</t>
  </si>
  <si>
    <t>Email</t>
  </si>
  <si>
    <t>C101</t>
  </si>
  <si>
    <t>a1@gmail.com</t>
  </si>
  <si>
    <t>C102</t>
  </si>
  <si>
    <t>a2@gmail.com</t>
  </si>
  <si>
    <t>C103</t>
  </si>
  <si>
    <t>a3@gmail.com</t>
  </si>
  <si>
    <t>C104</t>
  </si>
  <si>
    <t>a4@gmail.com</t>
  </si>
  <si>
    <t>C105</t>
  </si>
  <si>
    <t>a5@gmail.com</t>
  </si>
  <si>
    <t>C106</t>
  </si>
  <si>
    <t>a6@gmail.com</t>
  </si>
  <si>
    <t>C107</t>
  </si>
  <si>
    <t>a7@gmail.com</t>
  </si>
  <si>
    <t>C108</t>
  </si>
  <si>
    <t>a8@gmail.com</t>
  </si>
  <si>
    <t>C109</t>
  </si>
  <si>
    <t>a9@gmail.com</t>
  </si>
  <si>
    <t>C110</t>
  </si>
  <si>
    <t>a10@gmail.com</t>
  </si>
  <si>
    <t>C111</t>
  </si>
  <si>
    <t>a11@gmail.com</t>
  </si>
  <si>
    <t>C112</t>
  </si>
  <si>
    <t>a12@gmail.com</t>
  </si>
  <si>
    <t>C113</t>
  </si>
  <si>
    <t>a13@gmail.com</t>
  </si>
  <si>
    <t>C114</t>
  </si>
  <si>
    <t>a14@gmail.com</t>
  </si>
  <si>
    <t>C115</t>
  </si>
  <si>
    <t>a15@gmail.com</t>
  </si>
  <si>
    <t>C116</t>
  </si>
  <si>
    <t>a16@gmail.com</t>
  </si>
  <si>
    <t>C117</t>
  </si>
  <si>
    <t>a17@gmail.com</t>
  </si>
  <si>
    <t>C118</t>
  </si>
  <si>
    <t>a18@gmail.com</t>
  </si>
  <si>
    <t>C119</t>
  </si>
  <si>
    <t>a19@gmail.com</t>
  </si>
  <si>
    <t>C120</t>
  </si>
  <si>
    <t>a20@gmail.com</t>
  </si>
  <si>
    <t>EMAIL</t>
  </si>
  <si>
    <t>RETRIEVING SUPPLIER NAME BASED ON PRODUCT ID</t>
  </si>
  <si>
    <t>SUPPLIER</t>
  </si>
  <si>
    <t>PRODUCT TABLE</t>
  </si>
  <si>
    <t>EMPLOYEE TABLE</t>
  </si>
  <si>
    <t>STUDENT TABLE</t>
  </si>
  <si>
    <t>CISTOMER TABLE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</si>
  <si>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</si>
  <si>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</si>
  <si>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</si>
  <si>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</si>
  <si>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</si>
  <si>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</si>
  <si>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</si>
  <si>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</si>
  <si>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</si>
  <si>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</si>
  <si>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</si>
  <si>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</si>
  <si>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Income Slab</t>
  </si>
  <si>
    <t>Tax Rate %</t>
  </si>
  <si>
    <t>Category</t>
  </si>
  <si>
    <t>Electronics</t>
  </si>
  <si>
    <t>Clothing</t>
  </si>
  <si>
    <t>Furniture</t>
  </si>
  <si>
    <t>Grocery</t>
  </si>
  <si>
    <t>Toys</t>
  </si>
  <si>
    <t>Discount %</t>
  </si>
  <si>
    <t>Country</t>
  </si>
  <si>
    <t>USA</t>
  </si>
  <si>
    <t>UK</t>
  </si>
  <si>
    <t>UAE</t>
  </si>
  <si>
    <t>Japan</t>
  </si>
  <si>
    <t>Canada</t>
  </si>
  <si>
    <t>Rate (₹)</t>
  </si>
  <si>
    <t>Result %</t>
  </si>
  <si>
    <t>RETRIEVING SALES FOR SPECIFIC MONTH</t>
  </si>
  <si>
    <t>SEARCH MONTH</t>
  </si>
  <si>
    <t>SALES</t>
  </si>
  <si>
    <t>RETRIEVING TAX RATE FROM INCOME BRACKET</t>
  </si>
  <si>
    <t>SEARCH INCOME</t>
  </si>
  <si>
    <t>TAX RATE</t>
  </si>
  <si>
    <t>SEARCH CATEGORY</t>
  </si>
  <si>
    <t>DISCOUNT</t>
  </si>
  <si>
    <t>SEARCH COUNTRY</t>
  </si>
  <si>
    <t>RATE IN ₹</t>
  </si>
  <si>
    <t>RESULT</t>
  </si>
  <si>
    <t>Salary</t>
  </si>
  <si>
    <t>City</t>
  </si>
  <si>
    <t>Surat</t>
  </si>
  <si>
    <t>Mumbai</t>
  </si>
  <si>
    <t>Delhi</t>
  </si>
  <si>
    <t>Pune</t>
  </si>
  <si>
    <t>Bangalore</t>
  </si>
  <si>
    <t>Jaipur</t>
  </si>
  <si>
    <t>Salesperson</t>
  </si>
  <si>
    <t>Sales Amount</t>
  </si>
  <si>
    <t>Stock</t>
  </si>
  <si>
    <t>Console</t>
  </si>
  <si>
    <t>Roll No</t>
  </si>
  <si>
    <t>SALARY</t>
  </si>
  <si>
    <t>CITY</t>
  </si>
  <si>
    <t>SALEPERSON</t>
  </si>
  <si>
    <t>AMOUNT</t>
  </si>
  <si>
    <t>PRODUCT</t>
  </si>
  <si>
    <t>QUANTITY</t>
  </si>
  <si>
    <t>ROLL NUM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</si>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</sst>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/>
    <xf numFmtId="9" fontId="0" fillId="3" borderId="2" xfId="0" applyNumberFormat="1" applyFill="1" applyBorder="1"/>
    <xf numFmtId="9" fontId="3" fillId="3" borderId="2" xfId="0" applyNumberFormat="1" applyFont="1" applyFill="1" applyBorder="1" applyAlignment="1">
      <alignment horizontal="center" vertical="center"/>
    </xf>
    <xf numFmtId="9" fontId="1" fillId="0" borderId="2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8@gmail.com" TargetMode="External"/><Relationship Id="rId13" Type="http://schemas.openxmlformats.org/officeDocument/2006/relationships/hyperlink" Target="mailto:a13@gmail.com" TargetMode="External"/><Relationship Id="rId18" Type="http://schemas.openxmlformats.org/officeDocument/2006/relationships/hyperlink" Target="mailto:a18@gmail.com" TargetMode="External"/><Relationship Id="rId3" Type="http://schemas.openxmlformats.org/officeDocument/2006/relationships/hyperlink" Target="mailto:a3@gmail.com" TargetMode="External"/><Relationship Id="rId7" Type="http://schemas.openxmlformats.org/officeDocument/2006/relationships/hyperlink" Target="mailto:a7@gmail.com" TargetMode="External"/><Relationship Id="rId12" Type="http://schemas.openxmlformats.org/officeDocument/2006/relationships/hyperlink" Target="mailto:a12@gmail.com" TargetMode="External"/><Relationship Id="rId17" Type="http://schemas.openxmlformats.org/officeDocument/2006/relationships/hyperlink" Target="mailto:a17@gmail.com" TargetMode="External"/><Relationship Id="rId2" Type="http://schemas.openxmlformats.org/officeDocument/2006/relationships/hyperlink" Target="mailto:a2@gmail.com" TargetMode="External"/><Relationship Id="rId16" Type="http://schemas.openxmlformats.org/officeDocument/2006/relationships/hyperlink" Target="mailto:a16@gmail.com" TargetMode="External"/><Relationship Id="rId20" Type="http://schemas.openxmlformats.org/officeDocument/2006/relationships/hyperlink" Target="mailto:a20@gmail.com" TargetMode="External"/><Relationship Id="rId1" Type="http://schemas.openxmlformats.org/officeDocument/2006/relationships/hyperlink" Target="mailto:a1@gmail.com" TargetMode="External"/><Relationship Id="rId6" Type="http://schemas.openxmlformats.org/officeDocument/2006/relationships/hyperlink" Target="mailto:a6@gmail.com" TargetMode="External"/><Relationship Id="rId11" Type="http://schemas.openxmlformats.org/officeDocument/2006/relationships/hyperlink" Target="mailto:a11@gmail.com" TargetMode="External"/><Relationship Id="rId5" Type="http://schemas.openxmlformats.org/officeDocument/2006/relationships/hyperlink" Target="mailto:a5@gmail.com" TargetMode="External"/><Relationship Id="rId15" Type="http://schemas.openxmlformats.org/officeDocument/2006/relationships/hyperlink" Target="mailto:a15@gmail.com" TargetMode="External"/><Relationship Id="rId10" Type="http://schemas.openxmlformats.org/officeDocument/2006/relationships/hyperlink" Target="mailto:a10@gmail.com" TargetMode="External"/><Relationship Id="rId19" Type="http://schemas.openxmlformats.org/officeDocument/2006/relationships/hyperlink" Target="mailto:a19@gmail.com" TargetMode="External"/><Relationship Id="rId4" Type="http://schemas.openxmlformats.org/officeDocument/2006/relationships/hyperlink" Target="mailto:a4@gmail.com" TargetMode="External"/><Relationship Id="rId9" Type="http://schemas.openxmlformats.org/officeDocument/2006/relationships/hyperlink" Target="mailto:a9@gmail.com" TargetMode="External"/><Relationship Id="rId14" Type="http://schemas.openxmlformats.org/officeDocument/2006/relationships/hyperlink" Target="mailto:a14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E7" sqref="E7"/>
    </sheetView>
  </sheetViews>
  <sheetFormatPr defaultColWidth="14.44140625" defaultRowHeight="14.4" x14ac:dyDescent="0.3"/>
  <cols>
    <col min="1" max="1" width="4.77734375" bestFit="1" customWidth="1"/>
    <col min="2" max="2" width="65.6640625" bestFit="1" customWidth="1"/>
    <col min="3" max="3" width="13.77734375" bestFit="1" customWidth="1"/>
    <col min="4" max="4" width="14.77734375" bestFit="1" customWidth="1"/>
    <col min="5" max="5" width="8.6640625" customWidth="1"/>
    <col min="6" max="6" width="15" bestFit="1" customWidth="1"/>
    <col min="7" max="7" width="14.21875" bestFit="1" customWidth="1"/>
    <col min="8" max="8" width="6" bestFit="1" customWidth="1"/>
    <col min="9" max="9" width="8.109375" bestFit="1" customWidth="1"/>
    <col min="11" max="11" width="15.88671875" bestFit="1" customWidth="1"/>
    <col min="12" max="12" width="7.109375" bestFit="1" customWidth="1"/>
    <col min="13" max="13" width="11.109375" bestFit="1" customWidth="1"/>
    <col min="14" max="14" width="8.6640625" customWidth="1"/>
    <col min="15" max="15" width="14.6640625" bestFit="1" customWidth="1"/>
    <col min="16" max="16" width="6" bestFit="1" customWidth="1"/>
    <col min="17" max="17" width="8.6640625" customWidth="1"/>
    <col min="18" max="18" width="15.6640625" bestFit="1" customWidth="1"/>
    <col min="19" max="19" width="7.109375" bestFit="1" customWidth="1"/>
    <col min="20" max="20" width="14.33203125" bestFit="1" customWidth="1"/>
    <col min="21" max="26" width="8.6640625" customWidth="1"/>
  </cols>
  <sheetData>
    <row r="1" spans="1:26" x14ac:dyDescent="0.3">
      <c r="A1" s="1" t="s">
        <v>0</v>
      </c>
      <c r="B1" s="1" t="s">
        <v>1</v>
      </c>
      <c r="C1" s="2"/>
      <c r="F1" s="5" t="s">
        <v>22</v>
      </c>
      <c r="G1" s="5" t="s">
        <v>23</v>
      </c>
      <c r="H1" s="5" t="s">
        <v>24</v>
      </c>
      <c r="I1" s="5" t="s">
        <v>25</v>
      </c>
      <c r="K1" s="9" t="s">
        <v>85</v>
      </c>
      <c r="L1" s="9" t="s">
        <v>86</v>
      </c>
      <c r="M1" s="9" t="s">
        <v>87</v>
      </c>
      <c r="N1" s="2"/>
      <c r="O1" s="9" t="s">
        <v>136</v>
      </c>
      <c r="P1" s="9" t="s">
        <v>137</v>
      </c>
      <c r="Q1" s="2"/>
      <c r="R1" s="9" t="s">
        <v>147</v>
      </c>
      <c r="S1" s="9" t="s">
        <v>86</v>
      </c>
      <c r="T1" s="9" t="s">
        <v>148</v>
      </c>
      <c r="U1" s="2"/>
      <c r="V1" s="2"/>
      <c r="W1" s="2"/>
      <c r="X1" s="2"/>
      <c r="Y1" s="2"/>
      <c r="Z1" s="2"/>
    </row>
    <row r="2" spans="1:26" x14ac:dyDescent="0.3">
      <c r="A2" s="3" t="s">
        <v>2</v>
      </c>
      <c r="B2" s="4" t="s">
        <v>3</v>
      </c>
      <c r="C2" s="2"/>
      <c r="F2" s="6" t="s">
        <v>26</v>
      </c>
      <c r="G2" s="6" t="s">
        <v>27</v>
      </c>
      <c r="H2" s="6">
        <v>50000</v>
      </c>
      <c r="I2" s="6" t="s">
        <v>28</v>
      </c>
      <c r="K2" s="10" t="s">
        <v>88</v>
      </c>
      <c r="L2" s="10" t="s">
        <v>89</v>
      </c>
      <c r="M2" s="10" t="s">
        <v>90</v>
      </c>
      <c r="N2" s="2"/>
      <c r="O2" s="10">
        <v>0</v>
      </c>
      <c r="P2" s="10" t="s">
        <v>138</v>
      </c>
      <c r="Q2" s="2"/>
      <c r="R2" s="10" t="s">
        <v>149</v>
      </c>
      <c r="S2" s="10" t="s">
        <v>89</v>
      </c>
      <c r="T2" s="11" t="s">
        <v>150</v>
      </c>
      <c r="U2" s="2"/>
      <c r="V2" s="2"/>
      <c r="W2" s="2"/>
      <c r="X2" s="2"/>
      <c r="Y2" s="2"/>
      <c r="Z2" s="2"/>
    </row>
    <row r="3" spans="1:26" x14ac:dyDescent="0.3">
      <c r="A3" s="3" t="s">
        <v>4</v>
      </c>
      <c r="B3" s="4" t="s">
        <v>5</v>
      </c>
      <c r="C3" s="2"/>
      <c r="F3" s="6" t="s">
        <v>29</v>
      </c>
      <c r="G3" s="6" t="s">
        <v>30</v>
      </c>
      <c r="H3" s="6">
        <v>20000</v>
      </c>
      <c r="I3" s="6" t="s">
        <v>31</v>
      </c>
      <c r="K3" s="10" t="s">
        <v>91</v>
      </c>
      <c r="L3" s="10" t="s">
        <v>92</v>
      </c>
      <c r="M3" s="10" t="s">
        <v>93</v>
      </c>
      <c r="N3" s="2"/>
      <c r="O3" s="10">
        <v>50</v>
      </c>
      <c r="P3" s="10" t="s">
        <v>139</v>
      </c>
      <c r="Q3" s="2"/>
      <c r="R3" s="10" t="s">
        <v>151</v>
      </c>
      <c r="S3" s="10" t="s">
        <v>92</v>
      </c>
      <c r="T3" s="11" t="s">
        <v>152</v>
      </c>
      <c r="U3" s="2"/>
      <c r="V3" s="2"/>
      <c r="W3" s="2"/>
      <c r="X3" s="2"/>
      <c r="Y3" s="2"/>
      <c r="Z3" s="2"/>
    </row>
    <row r="4" spans="1:26" x14ac:dyDescent="0.3">
      <c r="A4" s="3" t="s">
        <v>6</v>
      </c>
      <c r="B4" s="4" t="s">
        <v>7</v>
      </c>
      <c r="C4" s="2"/>
      <c r="F4" s="6" t="s">
        <v>32</v>
      </c>
      <c r="G4" s="6" t="s">
        <v>33</v>
      </c>
      <c r="H4" s="6">
        <v>15000</v>
      </c>
      <c r="I4" s="6" t="s">
        <v>34</v>
      </c>
      <c r="K4" s="10" t="s">
        <v>94</v>
      </c>
      <c r="L4" s="10" t="s">
        <v>95</v>
      </c>
      <c r="M4" s="10" t="s">
        <v>96</v>
      </c>
      <c r="N4" s="2"/>
      <c r="O4" s="10">
        <v>60</v>
      </c>
      <c r="P4" s="10" t="s">
        <v>140</v>
      </c>
      <c r="Q4" s="2"/>
      <c r="R4" s="10" t="s">
        <v>153</v>
      </c>
      <c r="S4" s="10" t="s">
        <v>95</v>
      </c>
      <c r="T4" s="11" t="s">
        <v>154</v>
      </c>
      <c r="U4" s="2"/>
      <c r="V4" s="2"/>
      <c r="W4" s="2"/>
      <c r="X4" s="2"/>
      <c r="Y4" s="2"/>
      <c r="Z4" s="2"/>
    </row>
    <row r="5" spans="1:26" x14ac:dyDescent="0.3">
      <c r="A5" s="3" t="s">
        <v>8</v>
      </c>
      <c r="B5" s="4" t="s">
        <v>9</v>
      </c>
      <c r="C5" s="2"/>
      <c r="F5" s="6" t="s">
        <v>35</v>
      </c>
      <c r="G5" s="6" t="s">
        <v>36</v>
      </c>
      <c r="H5" s="6">
        <v>12000</v>
      </c>
      <c r="I5" s="6" t="s">
        <v>37</v>
      </c>
      <c r="K5" s="10" t="s">
        <v>97</v>
      </c>
      <c r="L5" s="10" t="s">
        <v>98</v>
      </c>
      <c r="M5" s="10" t="s">
        <v>99</v>
      </c>
      <c r="N5" s="2"/>
      <c r="O5" s="10">
        <v>70</v>
      </c>
      <c r="P5" s="10" t="s">
        <v>141</v>
      </c>
      <c r="Q5" s="2"/>
      <c r="R5" s="10" t="s">
        <v>155</v>
      </c>
      <c r="S5" s="10" t="s">
        <v>98</v>
      </c>
      <c r="T5" s="11" t="s">
        <v>156</v>
      </c>
      <c r="U5" s="2"/>
      <c r="V5" s="2"/>
      <c r="W5" s="2"/>
      <c r="X5" s="2"/>
      <c r="Y5" s="2"/>
      <c r="Z5" s="2"/>
    </row>
    <row r="6" spans="1:26" x14ac:dyDescent="0.3">
      <c r="A6" s="3" t="s">
        <v>10</v>
      </c>
      <c r="B6" s="4" t="s">
        <v>11</v>
      </c>
      <c r="C6" s="2"/>
      <c r="F6" s="6" t="s">
        <v>38</v>
      </c>
      <c r="G6" s="6" t="s">
        <v>39</v>
      </c>
      <c r="H6" s="6">
        <v>1500</v>
      </c>
      <c r="I6" s="6" t="s">
        <v>40</v>
      </c>
      <c r="K6" s="10" t="s">
        <v>100</v>
      </c>
      <c r="L6" s="10" t="s">
        <v>101</v>
      </c>
      <c r="M6" s="10" t="s">
        <v>90</v>
      </c>
      <c r="N6" s="2"/>
      <c r="O6" s="10">
        <v>80</v>
      </c>
      <c r="P6" s="10" t="s">
        <v>142</v>
      </c>
      <c r="Q6" s="2"/>
      <c r="R6" s="10" t="s">
        <v>157</v>
      </c>
      <c r="S6" s="10" t="s">
        <v>101</v>
      </c>
      <c r="T6" s="11" t="s">
        <v>158</v>
      </c>
      <c r="U6" s="2"/>
      <c r="V6" s="2"/>
      <c r="W6" s="2"/>
      <c r="X6" s="2"/>
      <c r="Y6" s="2"/>
      <c r="Z6" s="2"/>
    </row>
    <row r="7" spans="1:26" x14ac:dyDescent="0.3">
      <c r="A7" s="2"/>
      <c r="B7" s="2"/>
      <c r="C7" s="2"/>
      <c r="F7" s="6" t="s">
        <v>41</v>
      </c>
      <c r="G7" s="6" t="s">
        <v>42</v>
      </c>
      <c r="H7" s="6">
        <v>800</v>
      </c>
      <c r="I7" s="6" t="s">
        <v>43</v>
      </c>
      <c r="K7" s="10" t="s">
        <v>102</v>
      </c>
      <c r="L7" s="10" t="s">
        <v>103</v>
      </c>
      <c r="M7" s="10" t="s">
        <v>104</v>
      </c>
      <c r="N7" s="2"/>
      <c r="O7" s="10">
        <v>90</v>
      </c>
      <c r="P7" s="10" t="s">
        <v>143</v>
      </c>
      <c r="Q7" s="2"/>
      <c r="R7" s="10" t="s">
        <v>159</v>
      </c>
      <c r="S7" s="10" t="s">
        <v>103</v>
      </c>
      <c r="T7" s="11" t="s">
        <v>160</v>
      </c>
      <c r="U7" s="2"/>
      <c r="V7" s="2"/>
      <c r="W7" s="2"/>
      <c r="X7" s="2"/>
      <c r="Y7" s="2"/>
      <c r="Z7" s="2"/>
    </row>
    <row r="8" spans="1:26" x14ac:dyDescent="0.3">
      <c r="A8" s="2"/>
      <c r="B8" s="2"/>
      <c r="C8" s="2"/>
      <c r="F8" s="6" t="s">
        <v>44</v>
      </c>
      <c r="G8" s="6" t="s">
        <v>45</v>
      </c>
      <c r="H8" s="6">
        <v>9000</v>
      </c>
      <c r="I8" s="6" t="s">
        <v>46</v>
      </c>
      <c r="K8" s="10" t="s">
        <v>105</v>
      </c>
      <c r="L8" s="10" t="s">
        <v>106</v>
      </c>
      <c r="M8" s="10" t="s">
        <v>93</v>
      </c>
      <c r="N8" s="2"/>
      <c r="O8" s="2"/>
      <c r="P8" s="2"/>
      <c r="Q8" s="2"/>
      <c r="R8" s="10" t="s">
        <v>161</v>
      </c>
      <c r="S8" s="10" t="s">
        <v>106</v>
      </c>
      <c r="T8" s="11" t="s">
        <v>162</v>
      </c>
      <c r="U8" s="2"/>
      <c r="V8" s="2"/>
      <c r="W8" s="2"/>
      <c r="X8" s="2"/>
      <c r="Y8" s="2"/>
      <c r="Z8" s="2"/>
    </row>
    <row r="9" spans="1:26" x14ac:dyDescent="0.3">
      <c r="A9" s="2"/>
      <c r="B9" s="13" t="s">
        <v>82</v>
      </c>
      <c r="C9" s="14" t="s">
        <v>133</v>
      </c>
      <c r="D9" s="15" t="s">
        <v>83</v>
      </c>
      <c r="F9" s="6" t="s">
        <v>47</v>
      </c>
      <c r="G9" s="6" t="s">
        <v>48</v>
      </c>
      <c r="H9" s="6">
        <v>30000</v>
      </c>
      <c r="I9" s="6" t="s">
        <v>49</v>
      </c>
      <c r="K9" s="10" t="s">
        <v>107</v>
      </c>
      <c r="L9" s="10" t="s">
        <v>108</v>
      </c>
      <c r="M9" s="10" t="s">
        <v>96</v>
      </c>
      <c r="N9" s="2"/>
      <c r="O9" s="12" t="s">
        <v>194</v>
      </c>
      <c r="P9" s="2"/>
      <c r="Q9" s="2"/>
      <c r="R9" s="10" t="s">
        <v>163</v>
      </c>
      <c r="S9" s="10" t="s">
        <v>108</v>
      </c>
      <c r="T9" s="11" t="s">
        <v>164</v>
      </c>
      <c r="U9" s="2"/>
      <c r="V9" s="2"/>
      <c r="W9" s="2"/>
      <c r="X9" s="2"/>
      <c r="Y9" s="2"/>
      <c r="Z9" s="2"/>
    </row>
    <row r="10" spans="1:26" x14ac:dyDescent="0.3">
      <c r="A10" s="2"/>
      <c r="B10" s="16"/>
      <c r="C10" s="16" t="s">
        <v>29</v>
      </c>
      <c r="D10" s="15" t="str">
        <f>VLOOKUP(C10,F2:I21,2)</f>
        <v>Mobile</v>
      </c>
      <c r="F10" s="6" t="s">
        <v>50</v>
      </c>
      <c r="G10" s="6" t="s">
        <v>51</v>
      </c>
      <c r="H10" s="6">
        <v>4000</v>
      </c>
      <c r="I10" s="6" t="s">
        <v>52</v>
      </c>
      <c r="K10" s="10" t="s">
        <v>109</v>
      </c>
      <c r="L10" s="10" t="s">
        <v>110</v>
      </c>
      <c r="M10" s="10" t="s">
        <v>99</v>
      </c>
      <c r="N10" s="2"/>
      <c r="O10" s="2"/>
      <c r="P10" s="2"/>
      <c r="Q10" s="2"/>
      <c r="R10" s="10" t="s">
        <v>165</v>
      </c>
      <c r="S10" s="10" t="s">
        <v>110</v>
      </c>
      <c r="T10" s="11" t="s">
        <v>166</v>
      </c>
      <c r="U10" s="2"/>
      <c r="V10" s="2"/>
      <c r="W10" s="2"/>
      <c r="X10" s="2"/>
      <c r="Y10" s="2"/>
      <c r="Z10" s="2"/>
    </row>
    <row r="11" spans="1:26" x14ac:dyDescent="0.3">
      <c r="A11" s="2"/>
      <c r="B11" s="17"/>
      <c r="C11" s="17"/>
      <c r="D11" s="18"/>
      <c r="F11" s="6" t="s">
        <v>53</v>
      </c>
      <c r="G11" s="6" t="s">
        <v>54</v>
      </c>
      <c r="H11" s="6">
        <v>6000</v>
      </c>
      <c r="I11" s="6" t="s">
        <v>55</v>
      </c>
      <c r="K11" s="10" t="s">
        <v>111</v>
      </c>
      <c r="L11" s="10" t="s">
        <v>112</v>
      </c>
      <c r="M11" s="10" t="s">
        <v>90</v>
      </c>
      <c r="N11" s="2"/>
      <c r="O11" s="2"/>
      <c r="P11" s="2"/>
      <c r="Q11" s="2"/>
      <c r="R11" s="10" t="s">
        <v>167</v>
      </c>
      <c r="S11" s="10" t="s">
        <v>112</v>
      </c>
      <c r="T11" s="11" t="s">
        <v>168</v>
      </c>
      <c r="U11" s="2"/>
      <c r="V11" s="2"/>
      <c r="W11" s="2"/>
      <c r="X11" s="2"/>
      <c r="Y11" s="2"/>
      <c r="Z11" s="2"/>
    </row>
    <row r="12" spans="1:26" x14ac:dyDescent="0.3">
      <c r="A12" s="2"/>
      <c r="B12" s="19" t="s">
        <v>84</v>
      </c>
      <c r="C12" s="14" t="s">
        <v>133</v>
      </c>
      <c r="D12" s="20" t="s">
        <v>134</v>
      </c>
      <c r="F12" s="6" t="s">
        <v>56</v>
      </c>
      <c r="G12" s="6" t="s">
        <v>57</v>
      </c>
      <c r="H12" s="6">
        <v>7000</v>
      </c>
      <c r="I12" s="6" t="s">
        <v>58</v>
      </c>
      <c r="K12" s="10" t="s">
        <v>113</v>
      </c>
      <c r="L12" s="10" t="s">
        <v>114</v>
      </c>
      <c r="M12" s="10" t="s">
        <v>93</v>
      </c>
      <c r="N12" s="2"/>
      <c r="O12" s="2"/>
      <c r="P12" s="2"/>
      <c r="Q12" s="2"/>
      <c r="R12" s="10" t="s">
        <v>169</v>
      </c>
      <c r="S12" s="10" t="s">
        <v>114</v>
      </c>
      <c r="T12" s="11" t="s">
        <v>170</v>
      </c>
      <c r="U12" s="2"/>
      <c r="V12" s="2"/>
      <c r="W12" s="2"/>
      <c r="X12" s="2"/>
      <c r="Y12" s="2"/>
      <c r="Z12" s="2"/>
    </row>
    <row r="13" spans="1:26" x14ac:dyDescent="0.3">
      <c r="A13" s="2"/>
      <c r="B13" s="16"/>
      <c r="C13" s="14" t="s">
        <v>100</v>
      </c>
      <c r="D13" s="15" t="str">
        <f>VLOOKUP(C13,K2:M21,3)</f>
        <v>IT</v>
      </c>
      <c r="F13" s="6" t="s">
        <v>59</v>
      </c>
      <c r="G13" s="6" t="s">
        <v>60</v>
      </c>
      <c r="H13" s="6">
        <v>2500</v>
      </c>
      <c r="I13" s="6" t="s">
        <v>61</v>
      </c>
      <c r="K13" s="10" t="s">
        <v>115</v>
      </c>
      <c r="L13" s="10" t="s">
        <v>116</v>
      </c>
      <c r="M13" s="10" t="s">
        <v>104</v>
      </c>
      <c r="N13" s="2"/>
      <c r="O13" s="2"/>
      <c r="P13" s="2"/>
      <c r="Q13" s="2"/>
      <c r="R13" s="10" t="s">
        <v>171</v>
      </c>
      <c r="S13" s="10" t="s">
        <v>116</v>
      </c>
      <c r="T13" s="11" t="s">
        <v>172</v>
      </c>
      <c r="U13" s="2"/>
      <c r="V13" s="2"/>
      <c r="W13" s="2"/>
      <c r="X13" s="2"/>
      <c r="Y13" s="2"/>
      <c r="Z13" s="2"/>
    </row>
    <row r="14" spans="1:26" x14ac:dyDescent="0.3">
      <c r="A14" s="2"/>
      <c r="B14" s="17"/>
      <c r="C14" s="17"/>
      <c r="D14" s="18"/>
      <c r="F14" s="6" t="s">
        <v>62</v>
      </c>
      <c r="G14" s="6" t="s">
        <v>63</v>
      </c>
      <c r="H14" s="6">
        <v>8000</v>
      </c>
      <c r="I14" s="6" t="s">
        <v>64</v>
      </c>
      <c r="K14" s="10" t="s">
        <v>117</v>
      </c>
      <c r="L14" s="10" t="s">
        <v>118</v>
      </c>
      <c r="M14" s="10" t="s">
        <v>90</v>
      </c>
      <c r="N14" s="2"/>
      <c r="O14" s="2"/>
      <c r="P14" s="2"/>
      <c r="Q14" s="2"/>
      <c r="R14" s="10" t="s">
        <v>173</v>
      </c>
      <c r="S14" s="10" t="s">
        <v>118</v>
      </c>
      <c r="T14" s="11" t="s">
        <v>174</v>
      </c>
      <c r="U14" s="2"/>
      <c r="V14" s="2"/>
      <c r="W14" s="2"/>
      <c r="X14" s="2"/>
      <c r="Y14" s="2"/>
      <c r="Z14" s="2"/>
    </row>
    <row r="15" spans="1:26" x14ac:dyDescent="0.3">
      <c r="A15" s="2"/>
      <c r="B15" s="19" t="s">
        <v>135</v>
      </c>
      <c r="C15" s="14" t="s">
        <v>144</v>
      </c>
      <c r="D15" s="20" t="s">
        <v>145</v>
      </c>
      <c r="F15" s="6" t="s">
        <v>65</v>
      </c>
      <c r="G15" s="6" t="s">
        <v>66</v>
      </c>
      <c r="H15" s="6">
        <v>3000</v>
      </c>
      <c r="I15" s="6" t="s">
        <v>67</v>
      </c>
      <c r="K15" s="10" t="s">
        <v>119</v>
      </c>
      <c r="L15" s="10" t="s">
        <v>120</v>
      </c>
      <c r="M15" s="10" t="s">
        <v>96</v>
      </c>
      <c r="N15" s="2"/>
      <c r="O15" s="2"/>
      <c r="P15" s="2"/>
      <c r="Q15" s="2"/>
      <c r="R15" s="10" t="s">
        <v>175</v>
      </c>
      <c r="S15" s="10" t="s">
        <v>120</v>
      </c>
      <c r="T15" s="11" t="s">
        <v>176</v>
      </c>
      <c r="U15" s="2"/>
      <c r="V15" s="2"/>
      <c r="W15" s="2"/>
      <c r="X15" s="2"/>
      <c r="Y15" s="2"/>
      <c r="Z15" s="2"/>
    </row>
    <row r="16" spans="1:26" x14ac:dyDescent="0.3">
      <c r="A16" s="2"/>
      <c r="B16" s="16"/>
      <c r="C16" s="16">
        <v>78</v>
      </c>
      <c r="D16" s="15" t="str">
        <f>VLOOKUP(C16,O2:P7,2,TRUE)</f>
        <v>B</v>
      </c>
      <c r="F16" s="6" t="s">
        <v>68</v>
      </c>
      <c r="G16" s="6" t="s">
        <v>69</v>
      </c>
      <c r="H16" s="6">
        <v>2000</v>
      </c>
      <c r="I16" s="6" t="s">
        <v>70</v>
      </c>
      <c r="K16" s="10" t="s">
        <v>121</v>
      </c>
      <c r="L16" s="10" t="s">
        <v>122</v>
      </c>
      <c r="M16" s="10" t="s">
        <v>99</v>
      </c>
      <c r="N16" s="2"/>
      <c r="O16" s="2"/>
      <c r="P16" s="2"/>
      <c r="Q16" s="2"/>
      <c r="R16" s="10" t="s">
        <v>177</v>
      </c>
      <c r="S16" s="10" t="s">
        <v>122</v>
      </c>
      <c r="T16" s="11" t="s">
        <v>178</v>
      </c>
      <c r="U16" s="2"/>
      <c r="V16" s="2"/>
      <c r="W16" s="2"/>
      <c r="X16" s="2"/>
      <c r="Y16" s="2"/>
      <c r="Z16" s="2"/>
    </row>
    <row r="17" spans="1:26" x14ac:dyDescent="0.3">
      <c r="A17" s="2"/>
      <c r="B17" s="17"/>
      <c r="C17" s="17"/>
      <c r="D17" s="18"/>
      <c r="F17" s="6" t="s">
        <v>71</v>
      </c>
      <c r="G17" s="6" t="s">
        <v>72</v>
      </c>
      <c r="H17" s="6">
        <v>1200</v>
      </c>
      <c r="I17" s="6" t="s">
        <v>31</v>
      </c>
      <c r="K17" s="10" t="s">
        <v>123</v>
      </c>
      <c r="L17" s="10" t="s">
        <v>124</v>
      </c>
      <c r="M17" s="10" t="s">
        <v>90</v>
      </c>
      <c r="N17" s="2"/>
      <c r="O17" s="2"/>
      <c r="P17" s="2"/>
      <c r="Q17" s="2"/>
      <c r="R17" s="10" t="s">
        <v>179</v>
      </c>
      <c r="S17" s="10" t="s">
        <v>124</v>
      </c>
      <c r="T17" s="11" t="s">
        <v>180</v>
      </c>
      <c r="U17" s="2"/>
      <c r="V17" s="2"/>
      <c r="W17" s="2"/>
      <c r="X17" s="2"/>
      <c r="Y17" s="2"/>
      <c r="Z17" s="2"/>
    </row>
    <row r="18" spans="1:26" x14ac:dyDescent="0.3">
      <c r="A18" s="2"/>
      <c r="B18" s="19" t="s">
        <v>146</v>
      </c>
      <c r="C18" s="14" t="s">
        <v>133</v>
      </c>
      <c r="D18" s="20" t="s">
        <v>189</v>
      </c>
      <c r="F18" s="6" t="s">
        <v>73</v>
      </c>
      <c r="G18" s="6" t="s">
        <v>74</v>
      </c>
      <c r="H18" s="6">
        <v>45000</v>
      </c>
      <c r="I18" s="6" t="s">
        <v>75</v>
      </c>
      <c r="K18" s="10" t="s">
        <v>125</v>
      </c>
      <c r="L18" s="10" t="s">
        <v>126</v>
      </c>
      <c r="M18" s="10" t="s">
        <v>93</v>
      </c>
      <c r="N18" s="2"/>
      <c r="O18" s="2"/>
      <c r="P18" s="2"/>
      <c r="Q18" s="2"/>
      <c r="R18" s="10" t="s">
        <v>181</v>
      </c>
      <c r="S18" s="10" t="s">
        <v>126</v>
      </c>
      <c r="T18" s="11" t="s">
        <v>182</v>
      </c>
      <c r="U18" s="2"/>
      <c r="V18" s="2"/>
      <c r="W18" s="2"/>
      <c r="X18" s="2"/>
      <c r="Y18" s="2"/>
      <c r="Z18" s="2"/>
    </row>
    <row r="19" spans="1:26" x14ac:dyDescent="0.3">
      <c r="A19" s="2"/>
      <c r="B19" s="16"/>
      <c r="C19" s="14" t="s">
        <v>157</v>
      </c>
      <c r="D19" s="15" t="str">
        <f>VLOOKUP(C19,R2:T21,3)</f>
        <v>a5@gmail.com</v>
      </c>
      <c r="F19" s="6" t="s">
        <v>76</v>
      </c>
      <c r="G19" s="6" t="s">
        <v>77</v>
      </c>
      <c r="H19" s="6">
        <v>55000</v>
      </c>
      <c r="I19" s="6" t="s">
        <v>49</v>
      </c>
      <c r="K19" s="10" t="s">
        <v>127</v>
      </c>
      <c r="L19" s="10" t="s">
        <v>128</v>
      </c>
      <c r="M19" s="10" t="s">
        <v>104</v>
      </c>
      <c r="N19" s="2"/>
      <c r="O19" s="2"/>
      <c r="P19" s="2"/>
      <c r="Q19" s="2"/>
      <c r="R19" s="10" t="s">
        <v>183</v>
      </c>
      <c r="S19" s="10" t="s">
        <v>128</v>
      </c>
      <c r="T19" s="11" t="s">
        <v>184</v>
      </c>
      <c r="U19" s="2"/>
      <c r="V19" s="2"/>
      <c r="W19" s="2"/>
      <c r="X19" s="2"/>
      <c r="Y19" s="2"/>
      <c r="Z19" s="2"/>
    </row>
    <row r="20" spans="1:26" x14ac:dyDescent="0.3">
      <c r="A20" s="2"/>
      <c r="B20" s="17"/>
      <c r="C20" s="17"/>
      <c r="D20" s="18"/>
      <c r="F20" s="6" t="s">
        <v>78</v>
      </c>
      <c r="G20" s="6" t="s">
        <v>79</v>
      </c>
      <c r="H20" s="6">
        <v>40000</v>
      </c>
      <c r="I20" s="6" t="s">
        <v>49</v>
      </c>
      <c r="K20" s="10" t="s">
        <v>129</v>
      </c>
      <c r="L20" s="10" t="s">
        <v>130</v>
      </c>
      <c r="M20" s="10" t="s">
        <v>96</v>
      </c>
      <c r="N20" s="2"/>
      <c r="O20" s="2"/>
      <c r="P20" s="2"/>
      <c r="Q20" s="2"/>
      <c r="R20" s="10" t="s">
        <v>185</v>
      </c>
      <c r="S20" s="10" t="s">
        <v>130</v>
      </c>
      <c r="T20" s="11" t="s">
        <v>186</v>
      </c>
      <c r="U20" s="2"/>
      <c r="V20" s="2"/>
      <c r="W20" s="2"/>
      <c r="X20" s="2"/>
      <c r="Y20" s="2"/>
      <c r="Z20" s="2"/>
    </row>
    <row r="21" spans="1:26" x14ac:dyDescent="0.3">
      <c r="A21" s="2"/>
      <c r="B21" s="19" t="s">
        <v>190</v>
      </c>
      <c r="C21" s="14" t="s">
        <v>133</v>
      </c>
      <c r="D21" s="20" t="s">
        <v>191</v>
      </c>
      <c r="F21" s="6" t="s">
        <v>80</v>
      </c>
      <c r="G21" s="6" t="s">
        <v>81</v>
      </c>
      <c r="H21" s="6">
        <v>3500</v>
      </c>
      <c r="I21" s="6" t="s">
        <v>40</v>
      </c>
      <c r="K21" s="10" t="s">
        <v>131</v>
      </c>
      <c r="L21" s="10" t="s">
        <v>132</v>
      </c>
      <c r="M21" s="10" t="s">
        <v>90</v>
      </c>
      <c r="N21" s="2"/>
      <c r="O21" s="2"/>
      <c r="P21" s="2"/>
      <c r="Q21" s="2"/>
      <c r="R21" s="10" t="s">
        <v>187</v>
      </c>
      <c r="S21" s="10" t="s">
        <v>132</v>
      </c>
      <c r="T21" s="11" t="s">
        <v>188</v>
      </c>
      <c r="U21" s="2"/>
      <c r="V21" s="2"/>
      <c r="W21" s="2"/>
      <c r="X21" s="2"/>
      <c r="Y21" s="2"/>
      <c r="Z21" s="2"/>
    </row>
    <row r="22" spans="1:26" x14ac:dyDescent="0.3">
      <c r="A22" s="2"/>
      <c r="B22" s="16"/>
      <c r="C22" s="14" t="s">
        <v>73</v>
      </c>
      <c r="D22" s="15" t="str">
        <f>VLOOKUP(C22,F2:I21,4)</f>
        <v>Epson</v>
      </c>
      <c r="E22" s="2"/>
      <c r="F22" s="2"/>
      <c r="G22" s="2"/>
      <c r="H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E23" s="2"/>
      <c r="F23" s="12" t="s">
        <v>192</v>
      </c>
      <c r="G23" s="2"/>
      <c r="H23" s="2"/>
      <c r="K23" s="12" t="s">
        <v>193</v>
      </c>
      <c r="L23" s="2"/>
      <c r="M23" s="2"/>
      <c r="N23" s="2"/>
      <c r="O23" s="2"/>
      <c r="P23" s="2"/>
      <c r="Q23" s="2"/>
      <c r="R23" s="12" t="s">
        <v>195</v>
      </c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E24" s="2"/>
      <c r="F24" s="2"/>
      <c r="G24" s="2"/>
      <c r="H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E25" s="2"/>
      <c r="F25" s="2"/>
      <c r="G25" s="2"/>
      <c r="H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E26" s="2"/>
      <c r="F26" s="2"/>
      <c r="G26" s="2"/>
      <c r="H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E27" s="2"/>
      <c r="F27" s="2"/>
      <c r="G27" s="2"/>
      <c r="H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E28" s="2"/>
      <c r="F28" s="2"/>
      <c r="G28" s="2"/>
      <c r="H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E29" s="2"/>
      <c r="F29" s="2"/>
      <c r="G29" s="2"/>
      <c r="H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E30" s="2"/>
      <c r="F30" s="2"/>
      <c r="G30" s="2"/>
      <c r="H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E31" s="2"/>
      <c r="F31" s="2"/>
      <c r="G31" s="2"/>
      <c r="H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E32" s="2"/>
      <c r="F32" s="2"/>
      <c r="G32" s="2"/>
      <c r="H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E33" s="2"/>
      <c r="F33" s="2"/>
      <c r="G33" s="2"/>
      <c r="H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E34" s="2"/>
      <c r="F34" s="2"/>
      <c r="G34" s="2"/>
      <c r="H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E35" s="2"/>
      <c r="F35" s="2"/>
      <c r="G35" s="2"/>
      <c r="H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E36" s="2"/>
      <c r="F36" s="2"/>
      <c r="G36" s="2"/>
      <c r="H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E37" s="2"/>
      <c r="F37" s="2"/>
      <c r="G37" s="2"/>
      <c r="H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E38" s="2"/>
      <c r="F38" s="2"/>
      <c r="G38" s="2"/>
      <c r="H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E39" s="2"/>
      <c r="F39" s="2"/>
      <c r="G39" s="2"/>
      <c r="H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E40" s="2"/>
      <c r="F40" s="2"/>
      <c r="G40" s="2"/>
      <c r="H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E41" s="2"/>
      <c r="F41" s="2"/>
      <c r="G41" s="2"/>
      <c r="H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E42" s="2"/>
      <c r="F42" s="2"/>
      <c r="G42" s="2"/>
      <c r="H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E43" s="2"/>
      <c r="F43" s="2"/>
      <c r="G43" s="2"/>
      <c r="H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E44" s="2"/>
      <c r="F44" s="2"/>
      <c r="G44" s="2"/>
      <c r="H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E45" s="2"/>
      <c r="F45" s="2"/>
      <c r="G45" s="2"/>
      <c r="H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E46" s="2"/>
      <c r="F46" s="2"/>
      <c r="G46" s="2"/>
      <c r="H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E47" s="2"/>
      <c r="F47" s="2"/>
      <c r="G47" s="2"/>
      <c r="H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E48" s="2"/>
      <c r="F48" s="2"/>
      <c r="G48" s="2"/>
      <c r="H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E49" s="2"/>
      <c r="F49" s="2"/>
      <c r="G49" s="2"/>
      <c r="H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E50" s="2"/>
      <c r="F50" s="2"/>
      <c r="G50" s="2"/>
      <c r="H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E51" s="2"/>
      <c r="F51" s="2"/>
      <c r="G51" s="2"/>
      <c r="H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E52" s="2"/>
      <c r="F52" s="2"/>
      <c r="G52" s="2"/>
      <c r="H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E53" s="2"/>
      <c r="F53" s="2"/>
      <c r="G53" s="2"/>
      <c r="H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E54" s="2"/>
      <c r="F54" s="2"/>
      <c r="G54" s="2"/>
      <c r="H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E55" s="2"/>
      <c r="F55" s="2"/>
      <c r="G55" s="2"/>
      <c r="H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E56" s="2"/>
      <c r="F56" s="2"/>
      <c r="G56" s="2"/>
      <c r="H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E57" s="2"/>
      <c r="F57" s="2"/>
      <c r="G57" s="2"/>
      <c r="H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E58" s="2"/>
      <c r="F58" s="2"/>
      <c r="G58" s="2"/>
      <c r="H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E59" s="2"/>
      <c r="F59" s="2"/>
      <c r="G59" s="2"/>
      <c r="H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E60" s="2"/>
      <c r="F60" s="2"/>
      <c r="G60" s="2"/>
      <c r="H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E61" s="2"/>
      <c r="F61" s="2"/>
      <c r="G61" s="2"/>
      <c r="H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E62" s="2"/>
      <c r="F62" s="2"/>
      <c r="G62" s="2"/>
      <c r="H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E63" s="2"/>
      <c r="F63" s="2"/>
      <c r="G63" s="2"/>
      <c r="H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E64" s="2"/>
      <c r="F64" s="2"/>
      <c r="G64" s="2"/>
      <c r="H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E65" s="2"/>
      <c r="F65" s="2"/>
      <c r="G65" s="2"/>
      <c r="H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E66" s="2"/>
      <c r="F66" s="2"/>
      <c r="G66" s="2"/>
      <c r="H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E67" s="2"/>
      <c r="F67" s="2"/>
      <c r="G67" s="2"/>
      <c r="H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E68" s="2"/>
      <c r="F68" s="2"/>
      <c r="G68" s="2"/>
      <c r="H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E69" s="2"/>
      <c r="F69" s="2"/>
      <c r="G69" s="2"/>
      <c r="H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E70" s="2"/>
      <c r="F70" s="2"/>
      <c r="G70" s="2"/>
      <c r="H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E71" s="2"/>
      <c r="F71" s="2"/>
      <c r="G71" s="2"/>
      <c r="H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E72" s="2"/>
      <c r="F72" s="2"/>
      <c r="G72" s="2"/>
      <c r="H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E73" s="2"/>
      <c r="F73" s="2"/>
      <c r="G73" s="2"/>
      <c r="H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E74" s="2"/>
      <c r="F74" s="2"/>
      <c r="G74" s="2"/>
      <c r="H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E75" s="2"/>
      <c r="F75" s="2"/>
      <c r="G75" s="2"/>
      <c r="H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E76" s="2"/>
      <c r="F76" s="2"/>
      <c r="G76" s="2"/>
      <c r="H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E77" s="2"/>
      <c r="F77" s="2"/>
      <c r="G77" s="2"/>
      <c r="H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E78" s="2"/>
      <c r="F78" s="2"/>
      <c r="G78" s="2"/>
      <c r="H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E79" s="2"/>
      <c r="F79" s="2"/>
      <c r="G79" s="2"/>
      <c r="H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E80" s="2"/>
      <c r="F80" s="2"/>
      <c r="G80" s="2"/>
      <c r="H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E81" s="2"/>
      <c r="F81" s="2"/>
      <c r="G81" s="2"/>
      <c r="H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E82" s="2"/>
      <c r="F82" s="2"/>
      <c r="G82" s="2"/>
      <c r="H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E83" s="2"/>
      <c r="F83" s="2"/>
      <c r="G83" s="2"/>
      <c r="H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E84" s="2"/>
      <c r="F84" s="2"/>
      <c r="G84" s="2"/>
      <c r="H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E85" s="2"/>
      <c r="F85" s="2"/>
      <c r="G85" s="2"/>
      <c r="H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E86" s="2"/>
      <c r="F86" s="2"/>
      <c r="G86" s="2"/>
      <c r="H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E87" s="2"/>
      <c r="F87" s="2"/>
      <c r="G87" s="2"/>
      <c r="H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E88" s="2"/>
      <c r="F88" s="2"/>
      <c r="G88" s="2"/>
      <c r="H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E89" s="2"/>
      <c r="F89" s="2"/>
      <c r="G89" s="2"/>
      <c r="H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E90" s="2"/>
      <c r="F90" s="2"/>
      <c r="G90" s="2"/>
      <c r="H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E91" s="2"/>
      <c r="F91" s="2"/>
      <c r="G91" s="2"/>
      <c r="H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E92" s="2"/>
      <c r="F92" s="2"/>
      <c r="G92" s="2"/>
      <c r="H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E93" s="2"/>
      <c r="F93" s="2"/>
      <c r="G93" s="2"/>
      <c r="H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E94" s="2"/>
      <c r="F94" s="2"/>
      <c r="G94" s="2"/>
      <c r="H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E95" s="2"/>
      <c r="F95" s="2"/>
      <c r="G95" s="2"/>
      <c r="H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E96" s="2"/>
      <c r="F96" s="2"/>
      <c r="G96" s="2"/>
      <c r="H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E97" s="2"/>
      <c r="F97" s="2"/>
      <c r="G97" s="2"/>
      <c r="H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E98" s="2"/>
      <c r="F98" s="2"/>
      <c r="G98" s="2"/>
      <c r="H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E99" s="2"/>
      <c r="F99" s="2"/>
      <c r="G99" s="2"/>
      <c r="H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E100" s="2"/>
      <c r="F100" s="2"/>
      <c r="G100" s="2"/>
      <c r="H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E101" s="2"/>
      <c r="F101" s="2"/>
      <c r="G101" s="2"/>
      <c r="H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E102" s="2"/>
      <c r="F102" s="2"/>
      <c r="G102" s="2"/>
      <c r="H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E103" s="2"/>
      <c r="F103" s="2"/>
      <c r="G103" s="2"/>
      <c r="H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E104" s="2"/>
      <c r="F104" s="2"/>
      <c r="G104" s="2"/>
      <c r="H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E105" s="2"/>
      <c r="F105" s="2"/>
      <c r="G105" s="2"/>
      <c r="H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E106" s="2"/>
      <c r="F106" s="2"/>
      <c r="G106" s="2"/>
      <c r="H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E107" s="2"/>
      <c r="F107" s="2"/>
      <c r="G107" s="2"/>
      <c r="H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E108" s="2"/>
      <c r="F108" s="2"/>
      <c r="G108" s="2"/>
      <c r="H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E109" s="2"/>
      <c r="F109" s="2"/>
      <c r="G109" s="2"/>
      <c r="H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E110" s="2"/>
      <c r="F110" s="2"/>
      <c r="G110" s="2"/>
      <c r="H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E111" s="2"/>
      <c r="F111" s="2"/>
      <c r="G111" s="2"/>
      <c r="H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E112" s="2"/>
      <c r="F112" s="2"/>
      <c r="G112" s="2"/>
      <c r="H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E113" s="2"/>
      <c r="F113" s="2"/>
      <c r="G113" s="2"/>
      <c r="H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E114" s="2"/>
      <c r="F114" s="2"/>
      <c r="G114" s="2"/>
      <c r="H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E115" s="2"/>
      <c r="F115" s="2"/>
      <c r="G115" s="2"/>
      <c r="H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E116" s="2"/>
      <c r="F116" s="2"/>
      <c r="G116" s="2"/>
      <c r="H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E117" s="2"/>
      <c r="F117" s="2"/>
      <c r="G117" s="2"/>
      <c r="H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E118" s="2"/>
      <c r="F118" s="2"/>
      <c r="G118" s="2"/>
      <c r="H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E119" s="2"/>
      <c r="F119" s="2"/>
      <c r="G119" s="2"/>
      <c r="H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E120" s="2"/>
      <c r="F120" s="2"/>
      <c r="G120" s="2"/>
      <c r="H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E121" s="2"/>
      <c r="F121" s="2"/>
      <c r="G121" s="2"/>
      <c r="H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E122" s="2"/>
      <c r="F122" s="2"/>
      <c r="G122" s="2"/>
      <c r="H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E123" s="2"/>
      <c r="F123" s="2"/>
      <c r="G123" s="2"/>
      <c r="H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E124" s="2"/>
      <c r="F124" s="2"/>
      <c r="G124" s="2"/>
      <c r="H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E125" s="2"/>
      <c r="F125" s="2"/>
      <c r="G125" s="2"/>
      <c r="H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E126" s="2"/>
      <c r="F126" s="2"/>
      <c r="G126" s="2"/>
      <c r="H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E127" s="2"/>
      <c r="F127" s="2"/>
      <c r="G127" s="2"/>
      <c r="H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E128" s="2"/>
      <c r="F128" s="2"/>
      <c r="G128" s="2"/>
      <c r="H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E129" s="2"/>
      <c r="F129" s="2"/>
      <c r="G129" s="2"/>
      <c r="H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E130" s="2"/>
      <c r="F130" s="2"/>
      <c r="G130" s="2"/>
      <c r="H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E131" s="2"/>
      <c r="F131" s="2"/>
      <c r="G131" s="2"/>
      <c r="H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E132" s="2"/>
      <c r="F132" s="2"/>
      <c r="G132" s="2"/>
      <c r="H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E133" s="2"/>
      <c r="F133" s="2"/>
      <c r="G133" s="2"/>
      <c r="H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E134" s="2"/>
      <c r="F134" s="2"/>
      <c r="G134" s="2"/>
      <c r="H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E135" s="2"/>
      <c r="F135" s="2"/>
      <c r="G135" s="2"/>
      <c r="H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E136" s="2"/>
      <c r="F136" s="2"/>
      <c r="G136" s="2"/>
      <c r="H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E137" s="2"/>
      <c r="F137" s="2"/>
      <c r="G137" s="2"/>
      <c r="H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E138" s="2"/>
      <c r="F138" s="2"/>
      <c r="G138" s="2"/>
      <c r="H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E139" s="2"/>
      <c r="F139" s="2"/>
      <c r="G139" s="2"/>
      <c r="H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E140" s="2"/>
      <c r="F140" s="2"/>
      <c r="G140" s="2"/>
      <c r="H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E141" s="2"/>
      <c r="F141" s="2"/>
      <c r="G141" s="2"/>
      <c r="H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E142" s="2"/>
      <c r="F142" s="2"/>
      <c r="G142" s="2"/>
      <c r="H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E143" s="2"/>
      <c r="F143" s="2"/>
      <c r="G143" s="2"/>
      <c r="H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E144" s="2"/>
      <c r="F144" s="2"/>
      <c r="G144" s="2"/>
      <c r="H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E145" s="2"/>
      <c r="F145" s="2"/>
      <c r="G145" s="2"/>
      <c r="H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E146" s="2"/>
      <c r="F146" s="2"/>
      <c r="G146" s="2"/>
      <c r="H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E147" s="2"/>
      <c r="F147" s="2"/>
      <c r="G147" s="2"/>
      <c r="H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E148" s="2"/>
      <c r="F148" s="2"/>
      <c r="G148" s="2"/>
      <c r="H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E149" s="2"/>
      <c r="F149" s="2"/>
      <c r="G149" s="2"/>
      <c r="H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E150" s="2"/>
      <c r="F150" s="2"/>
      <c r="G150" s="2"/>
      <c r="H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E151" s="2"/>
      <c r="F151" s="2"/>
      <c r="G151" s="2"/>
      <c r="H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E152" s="2"/>
      <c r="F152" s="2"/>
      <c r="G152" s="2"/>
      <c r="H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E153" s="2"/>
      <c r="F153" s="2"/>
      <c r="G153" s="2"/>
      <c r="H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E154" s="2"/>
      <c r="F154" s="2"/>
      <c r="G154" s="2"/>
      <c r="H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E155" s="2"/>
      <c r="F155" s="2"/>
      <c r="G155" s="2"/>
      <c r="H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E156" s="2"/>
      <c r="F156" s="2"/>
      <c r="G156" s="2"/>
      <c r="H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E157" s="2"/>
      <c r="F157" s="2"/>
      <c r="G157" s="2"/>
      <c r="H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E158" s="2"/>
      <c r="F158" s="2"/>
      <c r="G158" s="2"/>
      <c r="H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E159" s="2"/>
      <c r="F159" s="2"/>
      <c r="G159" s="2"/>
      <c r="H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E160" s="2"/>
      <c r="F160" s="2"/>
      <c r="G160" s="2"/>
      <c r="H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E161" s="2"/>
      <c r="F161" s="2"/>
      <c r="G161" s="2"/>
      <c r="H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E162" s="2"/>
      <c r="F162" s="2"/>
      <c r="G162" s="2"/>
      <c r="H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E163" s="2"/>
      <c r="F163" s="2"/>
      <c r="G163" s="2"/>
      <c r="H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E164" s="2"/>
      <c r="F164" s="2"/>
      <c r="G164" s="2"/>
      <c r="H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E165" s="2"/>
      <c r="F165" s="2"/>
      <c r="G165" s="2"/>
      <c r="H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E166" s="2"/>
      <c r="F166" s="2"/>
      <c r="G166" s="2"/>
      <c r="H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E167" s="2"/>
      <c r="F167" s="2"/>
      <c r="G167" s="2"/>
      <c r="H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E168" s="2"/>
      <c r="F168" s="2"/>
      <c r="G168" s="2"/>
      <c r="H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E169" s="2"/>
      <c r="F169" s="2"/>
      <c r="G169" s="2"/>
      <c r="H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E170" s="2"/>
      <c r="F170" s="2"/>
      <c r="G170" s="2"/>
      <c r="H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E171" s="2"/>
      <c r="F171" s="2"/>
      <c r="G171" s="2"/>
      <c r="H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E172" s="2"/>
      <c r="F172" s="2"/>
      <c r="G172" s="2"/>
      <c r="H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E173" s="2"/>
      <c r="F173" s="2"/>
      <c r="G173" s="2"/>
      <c r="H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E174" s="2"/>
      <c r="F174" s="2"/>
      <c r="G174" s="2"/>
      <c r="H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E175" s="2"/>
      <c r="F175" s="2"/>
      <c r="G175" s="2"/>
      <c r="H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E176" s="2"/>
      <c r="F176" s="2"/>
      <c r="G176" s="2"/>
      <c r="H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E177" s="2"/>
      <c r="F177" s="2"/>
      <c r="G177" s="2"/>
      <c r="H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E178" s="2"/>
      <c r="F178" s="2"/>
      <c r="G178" s="2"/>
      <c r="H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E179" s="2"/>
      <c r="F179" s="2"/>
      <c r="G179" s="2"/>
      <c r="H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E180" s="2"/>
      <c r="F180" s="2"/>
      <c r="G180" s="2"/>
      <c r="H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E181" s="2"/>
      <c r="F181" s="2"/>
      <c r="G181" s="2"/>
      <c r="H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E182" s="2"/>
      <c r="F182" s="2"/>
      <c r="G182" s="2"/>
      <c r="H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E183" s="2"/>
      <c r="F183" s="2"/>
      <c r="G183" s="2"/>
      <c r="H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E184" s="2"/>
      <c r="F184" s="2"/>
      <c r="G184" s="2"/>
      <c r="H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E185" s="2"/>
      <c r="F185" s="2"/>
      <c r="G185" s="2"/>
      <c r="H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E186" s="2"/>
      <c r="F186" s="2"/>
      <c r="G186" s="2"/>
      <c r="H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E187" s="2"/>
      <c r="F187" s="2"/>
      <c r="G187" s="2"/>
      <c r="H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E188" s="2"/>
      <c r="F188" s="2"/>
      <c r="G188" s="2"/>
      <c r="H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E189" s="2"/>
      <c r="F189" s="2"/>
      <c r="G189" s="2"/>
      <c r="H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E190" s="2"/>
      <c r="F190" s="2"/>
      <c r="G190" s="2"/>
      <c r="H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E191" s="2"/>
      <c r="F191" s="2"/>
      <c r="G191" s="2"/>
      <c r="H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E192" s="2"/>
      <c r="F192" s="2"/>
      <c r="G192" s="2"/>
      <c r="H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E193" s="2"/>
      <c r="F193" s="2"/>
      <c r="G193" s="2"/>
      <c r="H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E194" s="2"/>
      <c r="F194" s="2"/>
      <c r="G194" s="2"/>
      <c r="H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E195" s="2"/>
      <c r="F195" s="2"/>
      <c r="G195" s="2"/>
      <c r="H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E196" s="2"/>
      <c r="F196" s="2"/>
      <c r="G196" s="2"/>
      <c r="H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E197" s="2"/>
      <c r="F197" s="2"/>
      <c r="G197" s="2"/>
      <c r="H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E198" s="2"/>
      <c r="F198" s="2"/>
      <c r="G198" s="2"/>
      <c r="H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E199" s="2"/>
      <c r="F199" s="2"/>
      <c r="G199" s="2"/>
      <c r="H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E200" s="2"/>
      <c r="F200" s="2"/>
      <c r="G200" s="2"/>
      <c r="H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E201" s="2"/>
      <c r="F201" s="2"/>
      <c r="G201" s="2"/>
      <c r="H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E202" s="2"/>
      <c r="F202" s="2"/>
      <c r="G202" s="2"/>
      <c r="H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E203" s="2"/>
      <c r="F203" s="2"/>
      <c r="G203" s="2"/>
      <c r="H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E204" s="2"/>
      <c r="F204" s="2"/>
      <c r="G204" s="2"/>
      <c r="H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E205" s="2"/>
      <c r="F205" s="2"/>
      <c r="G205" s="2"/>
      <c r="H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E206" s="2"/>
      <c r="F206" s="2"/>
      <c r="G206" s="2"/>
      <c r="H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E207" s="2"/>
      <c r="F207" s="2"/>
      <c r="G207" s="2"/>
      <c r="H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E208" s="2"/>
      <c r="F208" s="2"/>
      <c r="G208" s="2"/>
      <c r="H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E209" s="2"/>
      <c r="F209" s="2"/>
      <c r="G209" s="2"/>
      <c r="H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E210" s="2"/>
      <c r="F210" s="2"/>
      <c r="G210" s="2"/>
      <c r="H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E211" s="2"/>
      <c r="F211" s="2"/>
      <c r="G211" s="2"/>
      <c r="H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E212" s="2"/>
      <c r="F212" s="2"/>
      <c r="G212" s="2"/>
      <c r="H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E213" s="2"/>
      <c r="F213" s="2"/>
      <c r="G213" s="2"/>
      <c r="H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E214" s="2"/>
      <c r="F214" s="2"/>
      <c r="G214" s="2"/>
      <c r="H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E215" s="2"/>
      <c r="F215" s="2"/>
      <c r="G215" s="2"/>
      <c r="H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E216" s="2"/>
      <c r="F216" s="2"/>
      <c r="G216" s="2"/>
      <c r="H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E217" s="2"/>
      <c r="F217" s="2"/>
      <c r="G217" s="2"/>
      <c r="H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E218" s="2"/>
      <c r="F218" s="2"/>
      <c r="G218" s="2"/>
      <c r="H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E219" s="2"/>
      <c r="F219" s="2"/>
      <c r="G219" s="2"/>
      <c r="H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E220" s="2"/>
      <c r="F220" s="2"/>
      <c r="G220" s="2"/>
      <c r="H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E221" s="2"/>
      <c r="F221" s="2"/>
      <c r="G221" s="2"/>
      <c r="H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E222" s="2"/>
      <c r="F222" s="2"/>
      <c r="G222" s="2"/>
      <c r="H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E223" s="2"/>
      <c r="F223" s="2"/>
      <c r="G223" s="2"/>
      <c r="H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E224" s="2"/>
      <c r="F224" s="2"/>
      <c r="G224" s="2"/>
      <c r="H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E225" s="2"/>
      <c r="F225" s="2"/>
      <c r="G225" s="2"/>
      <c r="H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E226" s="2"/>
      <c r="F226" s="2"/>
      <c r="G226" s="2"/>
      <c r="H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E227" s="2"/>
      <c r="F227" s="2"/>
      <c r="G227" s="2"/>
      <c r="H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E228" s="2"/>
      <c r="F228" s="2"/>
      <c r="G228" s="2"/>
      <c r="H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E229" s="2"/>
      <c r="F229" s="2"/>
      <c r="G229" s="2"/>
      <c r="H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E230" s="2"/>
      <c r="F230" s="2"/>
      <c r="G230" s="2"/>
      <c r="H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E231" s="2"/>
      <c r="F231" s="2"/>
      <c r="G231" s="2"/>
      <c r="H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E232" s="2"/>
      <c r="F232" s="2"/>
      <c r="G232" s="2"/>
      <c r="H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E233" s="2"/>
      <c r="F233" s="2"/>
      <c r="G233" s="2"/>
      <c r="H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E234" s="2"/>
      <c r="F234" s="2"/>
      <c r="G234" s="2"/>
      <c r="H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E235" s="2"/>
      <c r="F235" s="2"/>
      <c r="G235" s="2"/>
      <c r="H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E236" s="2"/>
      <c r="F236" s="2"/>
      <c r="G236" s="2"/>
      <c r="H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E237" s="2"/>
      <c r="F237" s="2"/>
      <c r="G237" s="2"/>
      <c r="H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E238" s="2"/>
      <c r="F238" s="2"/>
      <c r="G238" s="2"/>
      <c r="H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E239" s="2"/>
      <c r="F239" s="2"/>
      <c r="G239" s="2"/>
      <c r="H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E240" s="2"/>
      <c r="F240" s="2"/>
      <c r="G240" s="2"/>
      <c r="H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E241" s="2"/>
      <c r="F241" s="2"/>
      <c r="G241" s="2"/>
      <c r="H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E242" s="2"/>
      <c r="F242" s="2"/>
      <c r="G242" s="2"/>
      <c r="H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E243" s="2"/>
      <c r="F243" s="2"/>
      <c r="G243" s="2"/>
      <c r="H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E244" s="2"/>
      <c r="F244" s="2"/>
      <c r="G244" s="2"/>
      <c r="H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E245" s="2"/>
      <c r="F245" s="2"/>
      <c r="G245" s="2"/>
      <c r="H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E246" s="2"/>
      <c r="F246" s="2"/>
      <c r="G246" s="2"/>
      <c r="H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E247" s="2"/>
      <c r="F247" s="2"/>
      <c r="G247" s="2"/>
      <c r="H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E248" s="2"/>
      <c r="F248" s="2"/>
      <c r="G248" s="2"/>
      <c r="H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E249" s="2"/>
      <c r="F249" s="2"/>
      <c r="G249" s="2"/>
      <c r="H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E250" s="2"/>
      <c r="F250" s="2"/>
      <c r="G250" s="2"/>
      <c r="H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E251" s="2"/>
      <c r="F251" s="2"/>
      <c r="G251" s="2"/>
      <c r="H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E252" s="2"/>
      <c r="F252" s="2"/>
      <c r="G252" s="2"/>
      <c r="H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E253" s="2"/>
      <c r="F253" s="2"/>
      <c r="G253" s="2"/>
      <c r="H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E254" s="2"/>
      <c r="F254" s="2"/>
      <c r="G254" s="2"/>
      <c r="H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E255" s="2"/>
      <c r="F255" s="2"/>
      <c r="G255" s="2"/>
      <c r="H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E256" s="2"/>
      <c r="F256" s="2"/>
      <c r="G256" s="2"/>
      <c r="H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E257" s="2"/>
      <c r="F257" s="2"/>
      <c r="G257" s="2"/>
      <c r="H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E258" s="2"/>
      <c r="F258" s="2"/>
      <c r="G258" s="2"/>
      <c r="H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E259" s="2"/>
      <c r="F259" s="2"/>
      <c r="G259" s="2"/>
      <c r="H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E260" s="2"/>
      <c r="F260" s="2"/>
      <c r="G260" s="2"/>
      <c r="H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E261" s="2"/>
      <c r="F261" s="2"/>
      <c r="G261" s="2"/>
      <c r="H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E262" s="2"/>
      <c r="F262" s="2"/>
      <c r="G262" s="2"/>
      <c r="H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E263" s="2"/>
      <c r="F263" s="2"/>
      <c r="G263" s="2"/>
      <c r="H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E264" s="2"/>
      <c r="F264" s="2"/>
      <c r="G264" s="2"/>
      <c r="H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E265" s="2"/>
      <c r="F265" s="2"/>
      <c r="G265" s="2"/>
      <c r="H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E266" s="2"/>
      <c r="F266" s="2"/>
      <c r="G266" s="2"/>
      <c r="H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E267" s="2"/>
      <c r="F267" s="2"/>
      <c r="G267" s="2"/>
      <c r="H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E268" s="2"/>
      <c r="F268" s="2"/>
      <c r="G268" s="2"/>
      <c r="H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E269" s="2"/>
      <c r="F269" s="2"/>
      <c r="G269" s="2"/>
      <c r="H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E270" s="2"/>
      <c r="F270" s="2"/>
      <c r="G270" s="2"/>
      <c r="H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E271" s="2"/>
      <c r="F271" s="2"/>
      <c r="G271" s="2"/>
      <c r="H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E272" s="2"/>
      <c r="F272" s="2"/>
      <c r="G272" s="2"/>
      <c r="H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E273" s="2"/>
      <c r="F273" s="2"/>
      <c r="G273" s="2"/>
      <c r="H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E274" s="2"/>
      <c r="F274" s="2"/>
      <c r="G274" s="2"/>
      <c r="H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E275" s="2"/>
      <c r="F275" s="2"/>
      <c r="G275" s="2"/>
      <c r="H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E276" s="2"/>
      <c r="F276" s="2"/>
      <c r="G276" s="2"/>
      <c r="H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E277" s="2"/>
      <c r="F277" s="2"/>
      <c r="G277" s="2"/>
      <c r="H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E278" s="2"/>
      <c r="F278" s="2"/>
      <c r="G278" s="2"/>
      <c r="H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E279" s="2"/>
      <c r="F279" s="2"/>
      <c r="G279" s="2"/>
      <c r="H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E280" s="2"/>
      <c r="F280" s="2"/>
      <c r="G280" s="2"/>
      <c r="H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E281" s="2"/>
      <c r="F281" s="2"/>
      <c r="G281" s="2"/>
      <c r="H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E282" s="2"/>
      <c r="F282" s="2"/>
      <c r="G282" s="2"/>
      <c r="H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E283" s="2"/>
      <c r="F283" s="2"/>
      <c r="G283" s="2"/>
      <c r="H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E284" s="2"/>
      <c r="F284" s="2"/>
      <c r="G284" s="2"/>
      <c r="H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E285" s="2"/>
      <c r="F285" s="2"/>
      <c r="G285" s="2"/>
      <c r="H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E286" s="2"/>
      <c r="F286" s="2"/>
      <c r="G286" s="2"/>
      <c r="H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E287" s="2"/>
      <c r="F287" s="2"/>
      <c r="G287" s="2"/>
      <c r="H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E288" s="2"/>
      <c r="F288" s="2"/>
      <c r="G288" s="2"/>
      <c r="H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E289" s="2"/>
      <c r="F289" s="2"/>
      <c r="G289" s="2"/>
      <c r="H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E290" s="2"/>
      <c r="F290" s="2"/>
      <c r="G290" s="2"/>
      <c r="H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E291" s="2"/>
      <c r="F291" s="2"/>
      <c r="G291" s="2"/>
      <c r="H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E292" s="2"/>
      <c r="F292" s="2"/>
      <c r="G292" s="2"/>
      <c r="H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E293" s="2"/>
      <c r="F293" s="2"/>
      <c r="G293" s="2"/>
      <c r="H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E294" s="2"/>
      <c r="F294" s="2"/>
      <c r="G294" s="2"/>
      <c r="H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E295" s="2"/>
      <c r="F295" s="2"/>
      <c r="G295" s="2"/>
      <c r="H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E296" s="2"/>
      <c r="F296" s="2"/>
      <c r="G296" s="2"/>
      <c r="H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E297" s="2"/>
      <c r="F297" s="2"/>
      <c r="G297" s="2"/>
      <c r="H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E298" s="2"/>
      <c r="F298" s="2"/>
      <c r="G298" s="2"/>
      <c r="H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E299" s="2"/>
      <c r="F299" s="2"/>
      <c r="G299" s="2"/>
      <c r="H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E300" s="2"/>
      <c r="F300" s="2"/>
      <c r="G300" s="2"/>
      <c r="H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E301" s="2"/>
      <c r="F301" s="2"/>
      <c r="G301" s="2"/>
      <c r="H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E302" s="2"/>
      <c r="F302" s="2"/>
      <c r="G302" s="2"/>
      <c r="H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E303" s="2"/>
      <c r="F303" s="2"/>
      <c r="G303" s="2"/>
      <c r="H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E304" s="2"/>
      <c r="F304" s="2"/>
      <c r="G304" s="2"/>
      <c r="H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E305" s="2"/>
      <c r="F305" s="2"/>
      <c r="G305" s="2"/>
      <c r="H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E306" s="2"/>
      <c r="F306" s="2"/>
      <c r="G306" s="2"/>
      <c r="H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E307" s="2"/>
      <c r="F307" s="2"/>
      <c r="G307" s="2"/>
      <c r="H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E308" s="2"/>
      <c r="F308" s="2"/>
      <c r="G308" s="2"/>
      <c r="H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E309" s="2"/>
      <c r="F309" s="2"/>
      <c r="G309" s="2"/>
      <c r="H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E310" s="2"/>
      <c r="F310" s="2"/>
      <c r="G310" s="2"/>
      <c r="H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E311" s="2"/>
      <c r="F311" s="2"/>
      <c r="G311" s="2"/>
      <c r="H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E312" s="2"/>
      <c r="F312" s="2"/>
      <c r="G312" s="2"/>
      <c r="H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E313" s="2"/>
      <c r="F313" s="2"/>
      <c r="G313" s="2"/>
      <c r="H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E314" s="2"/>
      <c r="F314" s="2"/>
      <c r="G314" s="2"/>
      <c r="H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E315" s="2"/>
      <c r="F315" s="2"/>
      <c r="G315" s="2"/>
      <c r="H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E316" s="2"/>
      <c r="F316" s="2"/>
      <c r="G316" s="2"/>
      <c r="H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E317" s="2"/>
      <c r="F317" s="2"/>
      <c r="G317" s="2"/>
      <c r="H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E318" s="2"/>
      <c r="F318" s="2"/>
      <c r="G318" s="2"/>
      <c r="H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E319" s="2"/>
      <c r="F319" s="2"/>
      <c r="G319" s="2"/>
      <c r="H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E320" s="2"/>
      <c r="F320" s="2"/>
      <c r="G320" s="2"/>
      <c r="H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E321" s="2"/>
      <c r="F321" s="2"/>
      <c r="G321" s="2"/>
      <c r="H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E322" s="2"/>
      <c r="F322" s="2"/>
      <c r="G322" s="2"/>
      <c r="H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E323" s="2"/>
      <c r="F323" s="2"/>
      <c r="G323" s="2"/>
      <c r="H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E324" s="2"/>
      <c r="F324" s="2"/>
      <c r="G324" s="2"/>
      <c r="H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E325" s="2"/>
      <c r="F325" s="2"/>
      <c r="G325" s="2"/>
      <c r="H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E326" s="2"/>
      <c r="F326" s="2"/>
      <c r="G326" s="2"/>
      <c r="H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E327" s="2"/>
      <c r="F327" s="2"/>
      <c r="G327" s="2"/>
      <c r="H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E328" s="2"/>
      <c r="F328" s="2"/>
      <c r="G328" s="2"/>
      <c r="H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E329" s="2"/>
      <c r="F329" s="2"/>
      <c r="G329" s="2"/>
      <c r="H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E330" s="2"/>
      <c r="F330" s="2"/>
      <c r="G330" s="2"/>
      <c r="H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E331" s="2"/>
      <c r="F331" s="2"/>
      <c r="G331" s="2"/>
      <c r="H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E332" s="2"/>
      <c r="F332" s="2"/>
      <c r="G332" s="2"/>
      <c r="H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E333" s="2"/>
      <c r="F333" s="2"/>
      <c r="G333" s="2"/>
      <c r="H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E334" s="2"/>
      <c r="F334" s="2"/>
      <c r="G334" s="2"/>
      <c r="H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E335" s="2"/>
      <c r="F335" s="2"/>
      <c r="G335" s="2"/>
      <c r="H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E336" s="2"/>
      <c r="F336" s="2"/>
      <c r="G336" s="2"/>
      <c r="H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E337" s="2"/>
      <c r="F337" s="2"/>
      <c r="G337" s="2"/>
      <c r="H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E338" s="2"/>
      <c r="F338" s="2"/>
      <c r="G338" s="2"/>
      <c r="H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E339" s="2"/>
      <c r="F339" s="2"/>
      <c r="G339" s="2"/>
      <c r="H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E340" s="2"/>
      <c r="F340" s="2"/>
      <c r="G340" s="2"/>
      <c r="H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E341" s="2"/>
      <c r="F341" s="2"/>
      <c r="G341" s="2"/>
      <c r="H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E342" s="2"/>
      <c r="F342" s="2"/>
      <c r="G342" s="2"/>
      <c r="H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E343" s="2"/>
      <c r="F343" s="2"/>
      <c r="G343" s="2"/>
      <c r="H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E344" s="2"/>
      <c r="F344" s="2"/>
      <c r="G344" s="2"/>
      <c r="H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E345" s="2"/>
      <c r="F345" s="2"/>
      <c r="G345" s="2"/>
      <c r="H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E346" s="2"/>
      <c r="F346" s="2"/>
      <c r="G346" s="2"/>
      <c r="H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E347" s="2"/>
      <c r="F347" s="2"/>
      <c r="G347" s="2"/>
      <c r="H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E348" s="2"/>
      <c r="F348" s="2"/>
      <c r="G348" s="2"/>
      <c r="H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E349" s="2"/>
      <c r="F349" s="2"/>
      <c r="G349" s="2"/>
      <c r="H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E350" s="2"/>
      <c r="F350" s="2"/>
      <c r="G350" s="2"/>
      <c r="H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E351" s="2"/>
      <c r="F351" s="2"/>
      <c r="G351" s="2"/>
      <c r="H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E352" s="2"/>
      <c r="F352" s="2"/>
      <c r="G352" s="2"/>
      <c r="H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E353" s="2"/>
      <c r="F353" s="2"/>
      <c r="G353" s="2"/>
      <c r="H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E354" s="2"/>
      <c r="F354" s="2"/>
      <c r="G354" s="2"/>
      <c r="H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E355" s="2"/>
      <c r="F355" s="2"/>
      <c r="G355" s="2"/>
      <c r="H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E356" s="2"/>
      <c r="F356" s="2"/>
      <c r="G356" s="2"/>
      <c r="H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E357" s="2"/>
      <c r="F357" s="2"/>
      <c r="G357" s="2"/>
      <c r="H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E358" s="2"/>
      <c r="F358" s="2"/>
      <c r="G358" s="2"/>
      <c r="H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E359" s="2"/>
      <c r="F359" s="2"/>
      <c r="G359" s="2"/>
      <c r="H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E360" s="2"/>
      <c r="F360" s="2"/>
      <c r="G360" s="2"/>
      <c r="H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E361" s="2"/>
      <c r="F361" s="2"/>
      <c r="G361" s="2"/>
      <c r="H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E362" s="2"/>
      <c r="F362" s="2"/>
      <c r="G362" s="2"/>
      <c r="H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E363" s="2"/>
      <c r="F363" s="2"/>
      <c r="G363" s="2"/>
      <c r="H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E364" s="2"/>
      <c r="F364" s="2"/>
      <c r="G364" s="2"/>
      <c r="H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E365" s="2"/>
      <c r="F365" s="2"/>
      <c r="G365" s="2"/>
      <c r="H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E366" s="2"/>
      <c r="F366" s="2"/>
      <c r="G366" s="2"/>
      <c r="H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E367" s="2"/>
      <c r="F367" s="2"/>
      <c r="G367" s="2"/>
      <c r="H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E368" s="2"/>
      <c r="F368" s="2"/>
      <c r="G368" s="2"/>
      <c r="H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E369" s="2"/>
      <c r="F369" s="2"/>
      <c r="G369" s="2"/>
      <c r="H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E370" s="2"/>
      <c r="F370" s="2"/>
      <c r="G370" s="2"/>
      <c r="H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E371" s="2"/>
      <c r="F371" s="2"/>
      <c r="G371" s="2"/>
      <c r="H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E372" s="2"/>
      <c r="F372" s="2"/>
      <c r="G372" s="2"/>
      <c r="H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E373" s="2"/>
      <c r="F373" s="2"/>
      <c r="G373" s="2"/>
      <c r="H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E374" s="2"/>
      <c r="F374" s="2"/>
      <c r="G374" s="2"/>
      <c r="H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E375" s="2"/>
      <c r="F375" s="2"/>
      <c r="G375" s="2"/>
      <c r="H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E376" s="2"/>
      <c r="F376" s="2"/>
      <c r="G376" s="2"/>
      <c r="H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E377" s="2"/>
      <c r="F377" s="2"/>
      <c r="G377" s="2"/>
      <c r="H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E378" s="2"/>
      <c r="F378" s="2"/>
      <c r="G378" s="2"/>
      <c r="H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E379" s="2"/>
      <c r="F379" s="2"/>
      <c r="G379" s="2"/>
      <c r="H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E380" s="2"/>
      <c r="F380" s="2"/>
      <c r="G380" s="2"/>
      <c r="H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E381" s="2"/>
      <c r="F381" s="2"/>
      <c r="G381" s="2"/>
      <c r="H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E382" s="2"/>
      <c r="F382" s="2"/>
      <c r="G382" s="2"/>
      <c r="H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E383" s="2"/>
      <c r="F383" s="2"/>
      <c r="G383" s="2"/>
      <c r="H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E384" s="2"/>
      <c r="F384" s="2"/>
      <c r="G384" s="2"/>
      <c r="H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E385" s="2"/>
      <c r="F385" s="2"/>
      <c r="G385" s="2"/>
      <c r="H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E386" s="2"/>
      <c r="F386" s="2"/>
      <c r="G386" s="2"/>
      <c r="H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E387" s="2"/>
      <c r="F387" s="2"/>
      <c r="G387" s="2"/>
      <c r="H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E388" s="2"/>
      <c r="F388" s="2"/>
      <c r="G388" s="2"/>
      <c r="H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E389" s="2"/>
      <c r="F389" s="2"/>
      <c r="G389" s="2"/>
      <c r="H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E390" s="2"/>
      <c r="F390" s="2"/>
      <c r="G390" s="2"/>
      <c r="H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E391" s="2"/>
      <c r="F391" s="2"/>
      <c r="G391" s="2"/>
      <c r="H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E392" s="2"/>
      <c r="F392" s="2"/>
      <c r="G392" s="2"/>
      <c r="H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E393" s="2"/>
      <c r="F393" s="2"/>
      <c r="G393" s="2"/>
      <c r="H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E394" s="2"/>
      <c r="F394" s="2"/>
      <c r="G394" s="2"/>
      <c r="H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E395" s="2"/>
      <c r="F395" s="2"/>
      <c r="G395" s="2"/>
      <c r="H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E396" s="2"/>
      <c r="F396" s="2"/>
      <c r="G396" s="2"/>
      <c r="H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E397" s="2"/>
      <c r="F397" s="2"/>
      <c r="G397" s="2"/>
      <c r="H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E398" s="2"/>
      <c r="F398" s="2"/>
      <c r="G398" s="2"/>
      <c r="H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E399" s="2"/>
      <c r="F399" s="2"/>
      <c r="G399" s="2"/>
      <c r="H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E400" s="2"/>
      <c r="F400" s="2"/>
      <c r="G400" s="2"/>
      <c r="H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E401" s="2"/>
      <c r="F401" s="2"/>
      <c r="G401" s="2"/>
      <c r="H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E402" s="2"/>
      <c r="F402" s="2"/>
      <c r="G402" s="2"/>
      <c r="H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E403" s="2"/>
      <c r="F403" s="2"/>
      <c r="G403" s="2"/>
      <c r="H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E404" s="2"/>
      <c r="F404" s="2"/>
      <c r="G404" s="2"/>
      <c r="H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E405" s="2"/>
      <c r="F405" s="2"/>
      <c r="G405" s="2"/>
      <c r="H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E406" s="2"/>
      <c r="F406" s="2"/>
      <c r="G406" s="2"/>
      <c r="H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E407" s="2"/>
      <c r="F407" s="2"/>
      <c r="G407" s="2"/>
      <c r="H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E408" s="2"/>
      <c r="F408" s="2"/>
      <c r="G408" s="2"/>
      <c r="H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E409" s="2"/>
      <c r="F409" s="2"/>
      <c r="G409" s="2"/>
      <c r="H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E410" s="2"/>
      <c r="F410" s="2"/>
      <c r="G410" s="2"/>
      <c r="H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E411" s="2"/>
      <c r="F411" s="2"/>
      <c r="G411" s="2"/>
      <c r="H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E412" s="2"/>
      <c r="F412" s="2"/>
      <c r="G412" s="2"/>
      <c r="H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E413" s="2"/>
      <c r="F413" s="2"/>
      <c r="G413" s="2"/>
      <c r="H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E414" s="2"/>
      <c r="F414" s="2"/>
      <c r="G414" s="2"/>
      <c r="H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E415" s="2"/>
      <c r="F415" s="2"/>
      <c r="G415" s="2"/>
      <c r="H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E416" s="2"/>
      <c r="F416" s="2"/>
      <c r="G416" s="2"/>
      <c r="H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E417" s="2"/>
      <c r="F417" s="2"/>
      <c r="G417" s="2"/>
      <c r="H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E418" s="2"/>
      <c r="F418" s="2"/>
      <c r="G418" s="2"/>
      <c r="H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E419" s="2"/>
      <c r="F419" s="2"/>
      <c r="G419" s="2"/>
      <c r="H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E420" s="2"/>
      <c r="F420" s="2"/>
      <c r="G420" s="2"/>
      <c r="H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E421" s="2"/>
      <c r="F421" s="2"/>
      <c r="G421" s="2"/>
      <c r="H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E422" s="2"/>
      <c r="F422" s="2"/>
      <c r="G422" s="2"/>
      <c r="H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E423" s="2"/>
      <c r="F423" s="2"/>
      <c r="G423" s="2"/>
      <c r="H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E424" s="2"/>
      <c r="F424" s="2"/>
      <c r="G424" s="2"/>
      <c r="H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E425" s="2"/>
      <c r="F425" s="2"/>
      <c r="G425" s="2"/>
      <c r="H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E426" s="2"/>
      <c r="F426" s="2"/>
      <c r="G426" s="2"/>
      <c r="H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E427" s="2"/>
      <c r="F427" s="2"/>
      <c r="G427" s="2"/>
      <c r="H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E428" s="2"/>
      <c r="F428" s="2"/>
      <c r="G428" s="2"/>
      <c r="H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E429" s="2"/>
      <c r="F429" s="2"/>
      <c r="G429" s="2"/>
      <c r="H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E430" s="2"/>
      <c r="F430" s="2"/>
      <c r="G430" s="2"/>
      <c r="H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E431" s="2"/>
      <c r="F431" s="2"/>
      <c r="G431" s="2"/>
      <c r="H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E432" s="2"/>
      <c r="F432" s="2"/>
      <c r="G432" s="2"/>
      <c r="H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E433" s="2"/>
      <c r="F433" s="2"/>
      <c r="G433" s="2"/>
      <c r="H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E434" s="2"/>
      <c r="F434" s="2"/>
      <c r="G434" s="2"/>
      <c r="H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E435" s="2"/>
      <c r="F435" s="2"/>
      <c r="G435" s="2"/>
      <c r="H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E436" s="2"/>
      <c r="F436" s="2"/>
      <c r="G436" s="2"/>
      <c r="H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E437" s="2"/>
      <c r="F437" s="2"/>
      <c r="G437" s="2"/>
      <c r="H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E438" s="2"/>
      <c r="F438" s="2"/>
      <c r="G438" s="2"/>
      <c r="H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E439" s="2"/>
      <c r="F439" s="2"/>
      <c r="G439" s="2"/>
      <c r="H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E440" s="2"/>
      <c r="F440" s="2"/>
      <c r="G440" s="2"/>
      <c r="H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E441" s="2"/>
      <c r="F441" s="2"/>
      <c r="G441" s="2"/>
      <c r="H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E442" s="2"/>
      <c r="F442" s="2"/>
      <c r="G442" s="2"/>
      <c r="H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E443" s="2"/>
      <c r="F443" s="2"/>
      <c r="G443" s="2"/>
      <c r="H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E444" s="2"/>
      <c r="F444" s="2"/>
      <c r="G444" s="2"/>
      <c r="H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E445" s="2"/>
      <c r="F445" s="2"/>
      <c r="G445" s="2"/>
      <c r="H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E446" s="2"/>
      <c r="F446" s="2"/>
      <c r="G446" s="2"/>
      <c r="H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E447" s="2"/>
      <c r="F447" s="2"/>
      <c r="G447" s="2"/>
      <c r="H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E448" s="2"/>
      <c r="F448" s="2"/>
      <c r="G448" s="2"/>
      <c r="H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E449" s="2"/>
      <c r="F449" s="2"/>
      <c r="G449" s="2"/>
      <c r="H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E450" s="2"/>
      <c r="F450" s="2"/>
      <c r="G450" s="2"/>
      <c r="H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E451" s="2"/>
      <c r="F451" s="2"/>
      <c r="G451" s="2"/>
      <c r="H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E452" s="2"/>
      <c r="F452" s="2"/>
      <c r="G452" s="2"/>
      <c r="H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E453" s="2"/>
      <c r="F453" s="2"/>
      <c r="G453" s="2"/>
      <c r="H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E454" s="2"/>
      <c r="F454" s="2"/>
      <c r="G454" s="2"/>
      <c r="H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E455" s="2"/>
      <c r="F455" s="2"/>
      <c r="G455" s="2"/>
      <c r="H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E456" s="2"/>
      <c r="F456" s="2"/>
      <c r="G456" s="2"/>
      <c r="H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E457" s="2"/>
      <c r="F457" s="2"/>
      <c r="G457" s="2"/>
      <c r="H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E458" s="2"/>
      <c r="F458" s="2"/>
      <c r="G458" s="2"/>
      <c r="H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E459" s="2"/>
      <c r="F459" s="2"/>
      <c r="G459" s="2"/>
      <c r="H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E460" s="2"/>
      <c r="F460" s="2"/>
      <c r="G460" s="2"/>
      <c r="H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E461" s="2"/>
      <c r="F461" s="2"/>
      <c r="G461" s="2"/>
      <c r="H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E462" s="2"/>
      <c r="F462" s="2"/>
      <c r="G462" s="2"/>
      <c r="H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E463" s="2"/>
      <c r="F463" s="2"/>
      <c r="G463" s="2"/>
      <c r="H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E464" s="2"/>
      <c r="F464" s="2"/>
      <c r="G464" s="2"/>
      <c r="H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E465" s="2"/>
      <c r="F465" s="2"/>
      <c r="G465" s="2"/>
      <c r="H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E466" s="2"/>
      <c r="F466" s="2"/>
      <c r="G466" s="2"/>
      <c r="H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E467" s="2"/>
      <c r="F467" s="2"/>
      <c r="G467" s="2"/>
      <c r="H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E468" s="2"/>
      <c r="F468" s="2"/>
      <c r="G468" s="2"/>
      <c r="H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E469" s="2"/>
      <c r="F469" s="2"/>
      <c r="G469" s="2"/>
      <c r="H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E470" s="2"/>
      <c r="F470" s="2"/>
      <c r="G470" s="2"/>
      <c r="H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E471" s="2"/>
      <c r="F471" s="2"/>
      <c r="G471" s="2"/>
      <c r="H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E472" s="2"/>
      <c r="F472" s="2"/>
      <c r="G472" s="2"/>
      <c r="H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E473" s="2"/>
      <c r="F473" s="2"/>
      <c r="G473" s="2"/>
      <c r="H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E474" s="2"/>
      <c r="F474" s="2"/>
      <c r="G474" s="2"/>
      <c r="H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E475" s="2"/>
      <c r="F475" s="2"/>
      <c r="G475" s="2"/>
      <c r="H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E476" s="2"/>
      <c r="F476" s="2"/>
      <c r="G476" s="2"/>
      <c r="H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E477" s="2"/>
      <c r="F477" s="2"/>
      <c r="G477" s="2"/>
      <c r="H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E478" s="2"/>
      <c r="F478" s="2"/>
      <c r="G478" s="2"/>
      <c r="H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E479" s="2"/>
      <c r="F479" s="2"/>
      <c r="G479" s="2"/>
      <c r="H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E480" s="2"/>
      <c r="F480" s="2"/>
      <c r="G480" s="2"/>
      <c r="H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E481" s="2"/>
      <c r="F481" s="2"/>
      <c r="G481" s="2"/>
      <c r="H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E482" s="2"/>
      <c r="F482" s="2"/>
      <c r="G482" s="2"/>
      <c r="H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E483" s="2"/>
      <c r="F483" s="2"/>
      <c r="G483" s="2"/>
      <c r="H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E484" s="2"/>
      <c r="F484" s="2"/>
      <c r="G484" s="2"/>
      <c r="H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E485" s="2"/>
      <c r="F485" s="2"/>
      <c r="G485" s="2"/>
      <c r="H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E486" s="2"/>
      <c r="F486" s="2"/>
      <c r="G486" s="2"/>
      <c r="H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E487" s="2"/>
      <c r="F487" s="2"/>
      <c r="G487" s="2"/>
      <c r="H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E488" s="2"/>
      <c r="F488" s="2"/>
      <c r="G488" s="2"/>
      <c r="H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E489" s="2"/>
      <c r="F489" s="2"/>
      <c r="G489" s="2"/>
      <c r="H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E490" s="2"/>
      <c r="F490" s="2"/>
      <c r="G490" s="2"/>
      <c r="H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E491" s="2"/>
      <c r="F491" s="2"/>
      <c r="G491" s="2"/>
      <c r="H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E492" s="2"/>
      <c r="F492" s="2"/>
      <c r="G492" s="2"/>
      <c r="H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E493" s="2"/>
      <c r="F493" s="2"/>
      <c r="G493" s="2"/>
      <c r="H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E494" s="2"/>
      <c r="F494" s="2"/>
      <c r="G494" s="2"/>
      <c r="H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E495" s="2"/>
      <c r="F495" s="2"/>
      <c r="G495" s="2"/>
      <c r="H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E496" s="2"/>
      <c r="F496" s="2"/>
      <c r="G496" s="2"/>
      <c r="H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E497" s="2"/>
      <c r="F497" s="2"/>
      <c r="G497" s="2"/>
      <c r="H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E498" s="2"/>
      <c r="F498" s="2"/>
      <c r="G498" s="2"/>
      <c r="H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E499" s="2"/>
      <c r="F499" s="2"/>
      <c r="G499" s="2"/>
      <c r="H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E500" s="2"/>
      <c r="F500" s="2"/>
      <c r="G500" s="2"/>
      <c r="H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E501" s="2"/>
      <c r="F501" s="2"/>
      <c r="G501" s="2"/>
      <c r="H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E502" s="2"/>
      <c r="F502" s="2"/>
      <c r="G502" s="2"/>
      <c r="H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E503" s="2"/>
      <c r="F503" s="2"/>
      <c r="G503" s="2"/>
      <c r="H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E504" s="2"/>
      <c r="F504" s="2"/>
      <c r="G504" s="2"/>
      <c r="H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E505" s="2"/>
      <c r="F505" s="2"/>
      <c r="G505" s="2"/>
      <c r="H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E506" s="2"/>
      <c r="F506" s="2"/>
      <c r="G506" s="2"/>
      <c r="H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E507" s="2"/>
      <c r="F507" s="2"/>
      <c r="G507" s="2"/>
      <c r="H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E508" s="2"/>
      <c r="F508" s="2"/>
      <c r="G508" s="2"/>
      <c r="H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E509" s="2"/>
      <c r="F509" s="2"/>
      <c r="G509" s="2"/>
      <c r="H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E510" s="2"/>
      <c r="F510" s="2"/>
      <c r="G510" s="2"/>
      <c r="H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E511" s="2"/>
      <c r="F511" s="2"/>
      <c r="G511" s="2"/>
      <c r="H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E512" s="2"/>
      <c r="F512" s="2"/>
      <c r="G512" s="2"/>
      <c r="H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E513" s="2"/>
      <c r="F513" s="2"/>
      <c r="G513" s="2"/>
      <c r="H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E514" s="2"/>
      <c r="F514" s="2"/>
      <c r="G514" s="2"/>
      <c r="H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E515" s="2"/>
      <c r="F515" s="2"/>
      <c r="G515" s="2"/>
      <c r="H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E516" s="2"/>
      <c r="F516" s="2"/>
      <c r="G516" s="2"/>
      <c r="H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E517" s="2"/>
      <c r="F517" s="2"/>
      <c r="G517" s="2"/>
      <c r="H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E518" s="2"/>
      <c r="F518" s="2"/>
      <c r="G518" s="2"/>
      <c r="H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E519" s="2"/>
      <c r="F519" s="2"/>
      <c r="G519" s="2"/>
      <c r="H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E520" s="2"/>
      <c r="F520" s="2"/>
      <c r="G520" s="2"/>
      <c r="H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E521" s="2"/>
      <c r="F521" s="2"/>
      <c r="G521" s="2"/>
      <c r="H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E522" s="2"/>
      <c r="F522" s="2"/>
      <c r="G522" s="2"/>
      <c r="H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E523" s="2"/>
      <c r="F523" s="2"/>
      <c r="G523" s="2"/>
      <c r="H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E524" s="2"/>
      <c r="F524" s="2"/>
      <c r="G524" s="2"/>
      <c r="H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E525" s="2"/>
      <c r="F525" s="2"/>
      <c r="G525" s="2"/>
      <c r="H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E526" s="2"/>
      <c r="F526" s="2"/>
      <c r="G526" s="2"/>
      <c r="H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E527" s="2"/>
      <c r="F527" s="2"/>
      <c r="G527" s="2"/>
      <c r="H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E528" s="2"/>
      <c r="F528" s="2"/>
      <c r="G528" s="2"/>
      <c r="H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E529" s="2"/>
      <c r="F529" s="2"/>
      <c r="G529" s="2"/>
      <c r="H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E530" s="2"/>
      <c r="F530" s="2"/>
      <c r="G530" s="2"/>
      <c r="H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E531" s="2"/>
      <c r="F531" s="2"/>
      <c r="G531" s="2"/>
      <c r="H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E532" s="2"/>
      <c r="F532" s="2"/>
      <c r="G532" s="2"/>
      <c r="H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E533" s="2"/>
      <c r="F533" s="2"/>
      <c r="G533" s="2"/>
      <c r="H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E534" s="2"/>
      <c r="F534" s="2"/>
      <c r="G534" s="2"/>
      <c r="H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E535" s="2"/>
      <c r="F535" s="2"/>
      <c r="G535" s="2"/>
      <c r="H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E536" s="2"/>
      <c r="F536" s="2"/>
      <c r="G536" s="2"/>
      <c r="H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E537" s="2"/>
      <c r="F537" s="2"/>
      <c r="G537" s="2"/>
      <c r="H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E538" s="2"/>
      <c r="F538" s="2"/>
      <c r="G538" s="2"/>
      <c r="H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E539" s="2"/>
      <c r="F539" s="2"/>
      <c r="G539" s="2"/>
      <c r="H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E540" s="2"/>
      <c r="F540" s="2"/>
      <c r="G540" s="2"/>
      <c r="H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E541" s="2"/>
      <c r="F541" s="2"/>
      <c r="G541" s="2"/>
      <c r="H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E542" s="2"/>
      <c r="F542" s="2"/>
      <c r="G542" s="2"/>
      <c r="H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E543" s="2"/>
      <c r="F543" s="2"/>
      <c r="G543" s="2"/>
      <c r="H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E544" s="2"/>
      <c r="F544" s="2"/>
      <c r="G544" s="2"/>
      <c r="H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E545" s="2"/>
      <c r="F545" s="2"/>
      <c r="G545" s="2"/>
      <c r="H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E546" s="2"/>
      <c r="F546" s="2"/>
      <c r="G546" s="2"/>
      <c r="H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E547" s="2"/>
      <c r="F547" s="2"/>
      <c r="G547" s="2"/>
      <c r="H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E548" s="2"/>
      <c r="F548" s="2"/>
      <c r="G548" s="2"/>
      <c r="H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E549" s="2"/>
      <c r="F549" s="2"/>
      <c r="G549" s="2"/>
      <c r="H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E550" s="2"/>
      <c r="F550" s="2"/>
      <c r="G550" s="2"/>
      <c r="H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E551" s="2"/>
      <c r="F551" s="2"/>
      <c r="G551" s="2"/>
      <c r="H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E552" s="2"/>
      <c r="F552" s="2"/>
      <c r="G552" s="2"/>
      <c r="H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E553" s="2"/>
      <c r="F553" s="2"/>
      <c r="G553" s="2"/>
      <c r="H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E554" s="2"/>
      <c r="F554" s="2"/>
      <c r="G554" s="2"/>
      <c r="H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E555" s="2"/>
      <c r="F555" s="2"/>
      <c r="G555" s="2"/>
      <c r="H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E556" s="2"/>
      <c r="F556" s="2"/>
      <c r="G556" s="2"/>
      <c r="H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E557" s="2"/>
      <c r="F557" s="2"/>
      <c r="G557" s="2"/>
      <c r="H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E558" s="2"/>
      <c r="F558" s="2"/>
      <c r="G558" s="2"/>
      <c r="H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E559" s="2"/>
      <c r="F559" s="2"/>
      <c r="G559" s="2"/>
      <c r="H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E560" s="2"/>
      <c r="F560" s="2"/>
      <c r="G560" s="2"/>
      <c r="H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E561" s="2"/>
      <c r="F561" s="2"/>
      <c r="G561" s="2"/>
      <c r="H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E562" s="2"/>
      <c r="F562" s="2"/>
      <c r="G562" s="2"/>
      <c r="H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E563" s="2"/>
      <c r="F563" s="2"/>
      <c r="G563" s="2"/>
      <c r="H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E564" s="2"/>
      <c r="F564" s="2"/>
      <c r="G564" s="2"/>
      <c r="H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E565" s="2"/>
      <c r="F565" s="2"/>
      <c r="G565" s="2"/>
      <c r="H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E566" s="2"/>
      <c r="F566" s="2"/>
      <c r="G566" s="2"/>
      <c r="H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E567" s="2"/>
      <c r="F567" s="2"/>
      <c r="G567" s="2"/>
      <c r="H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E568" s="2"/>
      <c r="F568" s="2"/>
      <c r="G568" s="2"/>
      <c r="H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E569" s="2"/>
      <c r="F569" s="2"/>
      <c r="G569" s="2"/>
      <c r="H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E570" s="2"/>
      <c r="F570" s="2"/>
      <c r="G570" s="2"/>
      <c r="H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E571" s="2"/>
      <c r="F571" s="2"/>
      <c r="G571" s="2"/>
      <c r="H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E572" s="2"/>
      <c r="F572" s="2"/>
      <c r="G572" s="2"/>
      <c r="H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E573" s="2"/>
      <c r="F573" s="2"/>
      <c r="G573" s="2"/>
      <c r="H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E574" s="2"/>
      <c r="F574" s="2"/>
      <c r="G574" s="2"/>
      <c r="H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E575" s="2"/>
      <c r="F575" s="2"/>
      <c r="G575" s="2"/>
      <c r="H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E576" s="2"/>
      <c r="F576" s="2"/>
      <c r="G576" s="2"/>
      <c r="H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E577" s="2"/>
      <c r="F577" s="2"/>
      <c r="G577" s="2"/>
      <c r="H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E578" s="2"/>
      <c r="F578" s="2"/>
      <c r="G578" s="2"/>
      <c r="H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E579" s="2"/>
      <c r="F579" s="2"/>
      <c r="G579" s="2"/>
      <c r="H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E580" s="2"/>
      <c r="F580" s="2"/>
      <c r="G580" s="2"/>
      <c r="H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E581" s="2"/>
      <c r="F581" s="2"/>
      <c r="G581" s="2"/>
      <c r="H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E582" s="2"/>
      <c r="F582" s="2"/>
      <c r="G582" s="2"/>
      <c r="H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E583" s="2"/>
      <c r="F583" s="2"/>
      <c r="G583" s="2"/>
      <c r="H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E584" s="2"/>
      <c r="F584" s="2"/>
      <c r="G584" s="2"/>
      <c r="H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E585" s="2"/>
      <c r="F585" s="2"/>
      <c r="G585" s="2"/>
      <c r="H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E586" s="2"/>
      <c r="F586" s="2"/>
      <c r="G586" s="2"/>
      <c r="H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E587" s="2"/>
      <c r="F587" s="2"/>
      <c r="G587" s="2"/>
      <c r="H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E588" s="2"/>
      <c r="F588" s="2"/>
      <c r="G588" s="2"/>
      <c r="H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E589" s="2"/>
      <c r="F589" s="2"/>
      <c r="G589" s="2"/>
      <c r="H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E590" s="2"/>
      <c r="F590" s="2"/>
      <c r="G590" s="2"/>
      <c r="H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E591" s="2"/>
      <c r="F591" s="2"/>
      <c r="G591" s="2"/>
      <c r="H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E592" s="2"/>
      <c r="F592" s="2"/>
      <c r="G592" s="2"/>
      <c r="H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E593" s="2"/>
      <c r="F593" s="2"/>
      <c r="G593" s="2"/>
      <c r="H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E594" s="2"/>
      <c r="F594" s="2"/>
      <c r="G594" s="2"/>
      <c r="H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E595" s="2"/>
      <c r="F595" s="2"/>
      <c r="G595" s="2"/>
      <c r="H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E596" s="2"/>
      <c r="F596" s="2"/>
      <c r="G596" s="2"/>
      <c r="H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E597" s="2"/>
      <c r="F597" s="2"/>
      <c r="G597" s="2"/>
      <c r="H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E598" s="2"/>
      <c r="F598" s="2"/>
      <c r="G598" s="2"/>
      <c r="H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E599" s="2"/>
      <c r="F599" s="2"/>
      <c r="G599" s="2"/>
      <c r="H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E600" s="2"/>
      <c r="F600" s="2"/>
      <c r="G600" s="2"/>
      <c r="H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E601" s="2"/>
      <c r="F601" s="2"/>
      <c r="G601" s="2"/>
      <c r="H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E602" s="2"/>
      <c r="F602" s="2"/>
      <c r="G602" s="2"/>
      <c r="H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E603" s="2"/>
      <c r="F603" s="2"/>
      <c r="G603" s="2"/>
      <c r="H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E604" s="2"/>
      <c r="F604" s="2"/>
      <c r="G604" s="2"/>
      <c r="H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E605" s="2"/>
      <c r="F605" s="2"/>
      <c r="G605" s="2"/>
      <c r="H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E606" s="2"/>
      <c r="F606" s="2"/>
      <c r="G606" s="2"/>
      <c r="H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E607" s="2"/>
      <c r="F607" s="2"/>
      <c r="G607" s="2"/>
      <c r="H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E608" s="2"/>
      <c r="F608" s="2"/>
      <c r="G608" s="2"/>
      <c r="H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E609" s="2"/>
      <c r="F609" s="2"/>
      <c r="G609" s="2"/>
      <c r="H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E610" s="2"/>
      <c r="F610" s="2"/>
      <c r="G610" s="2"/>
      <c r="H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E611" s="2"/>
      <c r="F611" s="2"/>
      <c r="G611" s="2"/>
      <c r="H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E612" s="2"/>
      <c r="F612" s="2"/>
      <c r="G612" s="2"/>
      <c r="H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E613" s="2"/>
      <c r="F613" s="2"/>
      <c r="G613" s="2"/>
      <c r="H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E614" s="2"/>
      <c r="F614" s="2"/>
      <c r="G614" s="2"/>
      <c r="H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E615" s="2"/>
      <c r="F615" s="2"/>
      <c r="G615" s="2"/>
      <c r="H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E616" s="2"/>
      <c r="F616" s="2"/>
      <c r="G616" s="2"/>
      <c r="H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E617" s="2"/>
      <c r="F617" s="2"/>
      <c r="G617" s="2"/>
      <c r="H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E618" s="2"/>
      <c r="F618" s="2"/>
      <c r="G618" s="2"/>
      <c r="H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E619" s="2"/>
      <c r="F619" s="2"/>
      <c r="G619" s="2"/>
      <c r="H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E620" s="2"/>
      <c r="F620" s="2"/>
      <c r="G620" s="2"/>
      <c r="H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E621" s="2"/>
      <c r="F621" s="2"/>
      <c r="G621" s="2"/>
      <c r="H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E622" s="2"/>
      <c r="F622" s="2"/>
      <c r="G622" s="2"/>
      <c r="H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E623" s="2"/>
      <c r="F623" s="2"/>
      <c r="G623" s="2"/>
      <c r="H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E624" s="2"/>
      <c r="F624" s="2"/>
      <c r="G624" s="2"/>
      <c r="H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E625" s="2"/>
      <c r="F625" s="2"/>
      <c r="G625" s="2"/>
      <c r="H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E626" s="2"/>
      <c r="F626" s="2"/>
      <c r="G626" s="2"/>
      <c r="H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E627" s="2"/>
      <c r="F627" s="2"/>
      <c r="G627" s="2"/>
      <c r="H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E628" s="2"/>
      <c r="F628" s="2"/>
      <c r="G628" s="2"/>
      <c r="H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E629" s="2"/>
      <c r="F629" s="2"/>
      <c r="G629" s="2"/>
      <c r="H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E630" s="2"/>
      <c r="F630" s="2"/>
      <c r="G630" s="2"/>
      <c r="H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E631" s="2"/>
      <c r="F631" s="2"/>
      <c r="G631" s="2"/>
      <c r="H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E632" s="2"/>
      <c r="F632" s="2"/>
      <c r="G632" s="2"/>
      <c r="H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E633" s="2"/>
      <c r="F633" s="2"/>
      <c r="G633" s="2"/>
      <c r="H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E634" s="2"/>
      <c r="F634" s="2"/>
      <c r="G634" s="2"/>
      <c r="H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E635" s="2"/>
      <c r="F635" s="2"/>
      <c r="G635" s="2"/>
      <c r="H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E636" s="2"/>
      <c r="F636" s="2"/>
      <c r="G636" s="2"/>
      <c r="H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E637" s="2"/>
      <c r="F637" s="2"/>
      <c r="G637" s="2"/>
      <c r="H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E638" s="2"/>
      <c r="F638" s="2"/>
      <c r="G638" s="2"/>
      <c r="H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E639" s="2"/>
      <c r="F639" s="2"/>
      <c r="G639" s="2"/>
      <c r="H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E640" s="2"/>
      <c r="F640" s="2"/>
      <c r="G640" s="2"/>
      <c r="H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E641" s="2"/>
      <c r="F641" s="2"/>
      <c r="G641" s="2"/>
      <c r="H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E642" s="2"/>
      <c r="F642" s="2"/>
      <c r="G642" s="2"/>
      <c r="H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E643" s="2"/>
      <c r="F643" s="2"/>
      <c r="G643" s="2"/>
      <c r="H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E644" s="2"/>
      <c r="F644" s="2"/>
      <c r="G644" s="2"/>
      <c r="H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E645" s="2"/>
      <c r="F645" s="2"/>
      <c r="G645" s="2"/>
      <c r="H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E646" s="2"/>
      <c r="F646" s="2"/>
      <c r="G646" s="2"/>
      <c r="H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E647" s="2"/>
      <c r="F647" s="2"/>
      <c r="G647" s="2"/>
      <c r="H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E648" s="2"/>
      <c r="F648" s="2"/>
      <c r="G648" s="2"/>
      <c r="H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E649" s="2"/>
      <c r="F649" s="2"/>
      <c r="G649" s="2"/>
      <c r="H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E650" s="2"/>
      <c r="F650" s="2"/>
      <c r="G650" s="2"/>
      <c r="H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E651" s="2"/>
      <c r="F651" s="2"/>
      <c r="G651" s="2"/>
      <c r="H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E652" s="2"/>
      <c r="F652" s="2"/>
      <c r="G652" s="2"/>
      <c r="H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E653" s="2"/>
      <c r="F653" s="2"/>
      <c r="G653" s="2"/>
      <c r="H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E654" s="2"/>
      <c r="F654" s="2"/>
      <c r="G654" s="2"/>
      <c r="H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E655" s="2"/>
      <c r="F655" s="2"/>
      <c r="G655" s="2"/>
      <c r="H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E656" s="2"/>
      <c r="F656" s="2"/>
      <c r="G656" s="2"/>
      <c r="H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E657" s="2"/>
      <c r="F657" s="2"/>
      <c r="G657" s="2"/>
      <c r="H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E658" s="2"/>
      <c r="F658" s="2"/>
      <c r="G658" s="2"/>
      <c r="H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E659" s="2"/>
      <c r="F659" s="2"/>
      <c r="G659" s="2"/>
      <c r="H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E660" s="2"/>
      <c r="F660" s="2"/>
      <c r="G660" s="2"/>
      <c r="H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E661" s="2"/>
      <c r="F661" s="2"/>
      <c r="G661" s="2"/>
      <c r="H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E662" s="2"/>
      <c r="F662" s="2"/>
      <c r="G662" s="2"/>
      <c r="H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E663" s="2"/>
      <c r="F663" s="2"/>
      <c r="G663" s="2"/>
      <c r="H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E664" s="2"/>
      <c r="F664" s="2"/>
      <c r="G664" s="2"/>
      <c r="H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E665" s="2"/>
      <c r="F665" s="2"/>
      <c r="G665" s="2"/>
      <c r="H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E666" s="2"/>
      <c r="F666" s="2"/>
      <c r="G666" s="2"/>
      <c r="H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E667" s="2"/>
      <c r="F667" s="2"/>
      <c r="G667" s="2"/>
      <c r="H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E668" s="2"/>
      <c r="F668" s="2"/>
      <c r="G668" s="2"/>
      <c r="H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E669" s="2"/>
      <c r="F669" s="2"/>
      <c r="G669" s="2"/>
      <c r="H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E670" s="2"/>
      <c r="F670" s="2"/>
      <c r="G670" s="2"/>
      <c r="H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E671" s="2"/>
      <c r="F671" s="2"/>
      <c r="G671" s="2"/>
      <c r="H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E672" s="2"/>
      <c r="F672" s="2"/>
      <c r="G672" s="2"/>
      <c r="H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E673" s="2"/>
      <c r="F673" s="2"/>
      <c r="G673" s="2"/>
      <c r="H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E674" s="2"/>
      <c r="F674" s="2"/>
      <c r="G674" s="2"/>
      <c r="H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E675" s="2"/>
      <c r="F675" s="2"/>
      <c r="G675" s="2"/>
      <c r="H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E676" s="2"/>
      <c r="F676" s="2"/>
      <c r="G676" s="2"/>
      <c r="H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E677" s="2"/>
      <c r="F677" s="2"/>
      <c r="G677" s="2"/>
      <c r="H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E678" s="2"/>
      <c r="F678" s="2"/>
      <c r="G678" s="2"/>
      <c r="H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E679" s="2"/>
      <c r="F679" s="2"/>
      <c r="G679" s="2"/>
      <c r="H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E680" s="2"/>
      <c r="F680" s="2"/>
      <c r="G680" s="2"/>
      <c r="H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E681" s="2"/>
      <c r="F681" s="2"/>
      <c r="G681" s="2"/>
      <c r="H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E682" s="2"/>
      <c r="F682" s="2"/>
      <c r="G682" s="2"/>
      <c r="H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E683" s="2"/>
      <c r="F683" s="2"/>
      <c r="G683" s="2"/>
      <c r="H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E684" s="2"/>
      <c r="F684" s="2"/>
      <c r="G684" s="2"/>
      <c r="H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E685" s="2"/>
      <c r="F685" s="2"/>
      <c r="G685" s="2"/>
      <c r="H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E686" s="2"/>
      <c r="F686" s="2"/>
      <c r="G686" s="2"/>
      <c r="H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E687" s="2"/>
      <c r="F687" s="2"/>
      <c r="G687" s="2"/>
      <c r="H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E688" s="2"/>
      <c r="F688" s="2"/>
      <c r="G688" s="2"/>
      <c r="H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E689" s="2"/>
      <c r="F689" s="2"/>
      <c r="G689" s="2"/>
      <c r="H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E690" s="2"/>
      <c r="F690" s="2"/>
      <c r="G690" s="2"/>
      <c r="H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E691" s="2"/>
      <c r="F691" s="2"/>
      <c r="G691" s="2"/>
      <c r="H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E692" s="2"/>
      <c r="F692" s="2"/>
      <c r="G692" s="2"/>
      <c r="H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E693" s="2"/>
      <c r="F693" s="2"/>
      <c r="G693" s="2"/>
      <c r="H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E694" s="2"/>
      <c r="F694" s="2"/>
      <c r="G694" s="2"/>
      <c r="H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E695" s="2"/>
      <c r="F695" s="2"/>
      <c r="G695" s="2"/>
      <c r="H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E696" s="2"/>
      <c r="F696" s="2"/>
      <c r="G696" s="2"/>
      <c r="H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E697" s="2"/>
      <c r="F697" s="2"/>
      <c r="G697" s="2"/>
      <c r="H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E698" s="2"/>
      <c r="F698" s="2"/>
      <c r="G698" s="2"/>
      <c r="H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E699" s="2"/>
      <c r="F699" s="2"/>
      <c r="G699" s="2"/>
      <c r="H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E700" s="2"/>
      <c r="F700" s="2"/>
      <c r="G700" s="2"/>
      <c r="H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E701" s="2"/>
      <c r="F701" s="2"/>
      <c r="G701" s="2"/>
      <c r="H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E702" s="2"/>
      <c r="F702" s="2"/>
      <c r="G702" s="2"/>
      <c r="H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E703" s="2"/>
      <c r="F703" s="2"/>
      <c r="G703" s="2"/>
      <c r="H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E704" s="2"/>
      <c r="F704" s="2"/>
      <c r="G704" s="2"/>
      <c r="H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E705" s="2"/>
      <c r="F705" s="2"/>
      <c r="G705" s="2"/>
      <c r="H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E706" s="2"/>
      <c r="F706" s="2"/>
      <c r="G706" s="2"/>
      <c r="H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E707" s="2"/>
      <c r="F707" s="2"/>
      <c r="G707" s="2"/>
      <c r="H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E708" s="2"/>
      <c r="F708" s="2"/>
      <c r="G708" s="2"/>
      <c r="H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E709" s="2"/>
      <c r="F709" s="2"/>
      <c r="G709" s="2"/>
      <c r="H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E710" s="2"/>
      <c r="F710" s="2"/>
      <c r="G710" s="2"/>
      <c r="H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E711" s="2"/>
      <c r="F711" s="2"/>
      <c r="G711" s="2"/>
      <c r="H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E712" s="2"/>
      <c r="F712" s="2"/>
      <c r="G712" s="2"/>
      <c r="H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E713" s="2"/>
      <c r="F713" s="2"/>
      <c r="G713" s="2"/>
      <c r="H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E714" s="2"/>
      <c r="F714" s="2"/>
      <c r="G714" s="2"/>
      <c r="H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E715" s="2"/>
      <c r="F715" s="2"/>
      <c r="G715" s="2"/>
      <c r="H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E716" s="2"/>
      <c r="F716" s="2"/>
      <c r="G716" s="2"/>
      <c r="H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E717" s="2"/>
      <c r="F717" s="2"/>
      <c r="G717" s="2"/>
      <c r="H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E718" s="2"/>
      <c r="F718" s="2"/>
      <c r="G718" s="2"/>
      <c r="H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E719" s="2"/>
      <c r="F719" s="2"/>
      <c r="G719" s="2"/>
      <c r="H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E720" s="2"/>
      <c r="F720" s="2"/>
      <c r="G720" s="2"/>
      <c r="H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E721" s="2"/>
      <c r="F721" s="2"/>
      <c r="G721" s="2"/>
      <c r="H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E722" s="2"/>
      <c r="F722" s="2"/>
      <c r="G722" s="2"/>
      <c r="H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E723" s="2"/>
      <c r="F723" s="2"/>
      <c r="G723" s="2"/>
      <c r="H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E724" s="2"/>
      <c r="F724" s="2"/>
      <c r="G724" s="2"/>
      <c r="H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E725" s="2"/>
      <c r="F725" s="2"/>
      <c r="G725" s="2"/>
      <c r="H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E726" s="2"/>
      <c r="F726" s="2"/>
      <c r="G726" s="2"/>
      <c r="H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E727" s="2"/>
      <c r="F727" s="2"/>
      <c r="G727" s="2"/>
      <c r="H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E728" s="2"/>
      <c r="F728" s="2"/>
      <c r="G728" s="2"/>
      <c r="H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E729" s="2"/>
      <c r="F729" s="2"/>
      <c r="G729" s="2"/>
      <c r="H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E730" s="2"/>
      <c r="F730" s="2"/>
      <c r="G730" s="2"/>
      <c r="H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E731" s="2"/>
      <c r="F731" s="2"/>
      <c r="G731" s="2"/>
      <c r="H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E732" s="2"/>
      <c r="F732" s="2"/>
      <c r="G732" s="2"/>
      <c r="H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E733" s="2"/>
      <c r="F733" s="2"/>
      <c r="G733" s="2"/>
      <c r="H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E734" s="2"/>
      <c r="F734" s="2"/>
      <c r="G734" s="2"/>
      <c r="H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E735" s="2"/>
      <c r="F735" s="2"/>
      <c r="G735" s="2"/>
      <c r="H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E736" s="2"/>
      <c r="F736" s="2"/>
      <c r="G736" s="2"/>
      <c r="H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E737" s="2"/>
      <c r="F737" s="2"/>
      <c r="G737" s="2"/>
      <c r="H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E738" s="2"/>
      <c r="F738" s="2"/>
      <c r="G738" s="2"/>
      <c r="H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E739" s="2"/>
      <c r="F739" s="2"/>
      <c r="G739" s="2"/>
      <c r="H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E740" s="2"/>
      <c r="F740" s="2"/>
      <c r="G740" s="2"/>
      <c r="H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E741" s="2"/>
      <c r="F741" s="2"/>
      <c r="G741" s="2"/>
      <c r="H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E742" s="2"/>
      <c r="F742" s="2"/>
      <c r="G742" s="2"/>
      <c r="H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E743" s="2"/>
      <c r="F743" s="2"/>
      <c r="G743" s="2"/>
      <c r="H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E744" s="2"/>
      <c r="F744" s="2"/>
      <c r="G744" s="2"/>
      <c r="H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E745" s="2"/>
      <c r="F745" s="2"/>
      <c r="G745" s="2"/>
      <c r="H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E746" s="2"/>
      <c r="F746" s="2"/>
      <c r="G746" s="2"/>
      <c r="H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E747" s="2"/>
      <c r="F747" s="2"/>
      <c r="G747" s="2"/>
      <c r="H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E748" s="2"/>
      <c r="F748" s="2"/>
      <c r="G748" s="2"/>
      <c r="H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E749" s="2"/>
      <c r="F749" s="2"/>
      <c r="G749" s="2"/>
      <c r="H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E750" s="2"/>
      <c r="F750" s="2"/>
      <c r="G750" s="2"/>
      <c r="H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E751" s="2"/>
      <c r="F751" s="2"/>
      <c r="G751" s="2"/>
      <c r="H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E752" s="2"/>
      <c r="F752" s="2"/>
      <c r="G752" s="2"/>
      <c r="H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E753" s="2"/>
      <c r="F753" s="2"/>
      <c r="G753" s="2"/>
      <c r="H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E754" s="2"/>
      <c r="F754" s="2"/>
      <c r="G754" s="2"/>
      <c r="H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E755" s="2"/>
      <c r="F755" s="2"/>
      <c r="G755" s="2"/>
      <c r="H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E756" s="2"/>
      <c r="F756" s="2"/>
      <c r="G756" s="2"/>
      <c r="H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E757" s="2"/>
      <c r="F757" s="2"/>
      <c r="G757" s="2"/>
      <c r="H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E758" s="2"/>
      <c r="F758" s="2"/>
      <c r="G758" s="2"/>
      <c r="H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E759" s="2"/>
      <c r="F759" s="2"/>
      <c r="G759" s="2"/>
      <c r="H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E760" s="2"/>
      <c r="F760" s="2"/>
      <c r="G760" s="2"/>
      <c r="H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E761" s="2"/>
      <c r="F761" s="2"/>
      <c r="G761" s="2"/>
      <c r="H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E762" s="2"/>
      <c r="F762" s="2"/>
      <c r="G762" s="2"/>
      <c r="H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E763" s="2"/>
      <c r="F763" s="2"/>
      <c r="G763" s="2"/>
      <c r="H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E764" s="2"/>
      <c r="F764" s="2"/>
      <c r="G764" s="2"/>
      <c r="H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E765" s="2"/>
      <c r="F765" s="2"/>
      <c r="G765" s="2"/>
      <c r="H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E766" s="2"/>
      <c r="F766" s="2"/>
      <c r="G766" s="2"/>
      <c r="H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E767" s="2"/>
      <c r="F767" s="2"/>
      <c r="G767" s="2"/>
      <c r="H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E768" s="2"/>
      <c r="F768" s="2"/>
      <c r="G768" s="2"/>
      <c r="H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E769" s="2"/>
      <c r="F769" s="2"/>
      <c r="G769" s="2"/>
      <c r="H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E770" s="2"/>
      <c r="F770" s="2"/>
      <c r="G770" s="2"/>
      <c r="H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E771" s="2"/>
      <c r="F771" s="2"/>
      <c r="G771" s="2"/>
      <c r="H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E772" s="2"/>
      <c r="F772" s="2"/>
      <c r="G772" s="2"/>
      <c r="H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E773" s="2"/>
      <c r="F773" s="2"/>
      <c r="G773" s="2"/>
      <c r="H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E774" s="2"/>
      <c r="F774" s="2"/>
      <c r="G774" s="2"/>
      <c r="H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E775" s="2"/>
      <c r="F775" s="2"/>
      <c r="G775" s="2"/>
      <c r="H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E776" s="2"/>
      <c r="F776" s="2"/>
      <c r="G776" s="2"/>
      <c r="H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E777" s="2"/>
      <c r="F777" s="2"/>
      <c r="G777" s="2"/>
      <c r="H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E778" s="2"/>
      <c r="F778" s="2"/>
      <c r="G778" s="2"/>
      <c r="H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E779" s="2"/>
      <c r="F779" s="2"/>
      <c r="G779" s="2"/>
      <c r="H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E780" s="2"/>
      <c r="F780" s="2"/>
      <c r="G780" s="2"/>
      <c r="H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E781" s="2"/>
      <c r="F781" s="2"/>
      <c r="G781" s="2"/>
      <c r="H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E782" s="2"/>
      <c r="F782" s="2"/>
      <c r="G782" s="2"/>
      <c r="H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E783" s="2"/>
      <c r="F783" s="2"/>
      <c r="G783" s="2"/>
      <c r="H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E784" s="2"/>
      <c r="F784" s="2"/>
      <c r="G784" s="2"/>
      <c r="H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E785" s="2"/>
      <c r="F785" s="2"/>
      <c r="G785" s="2"/>
      <c r="H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E786" s="2"/>
      <c r="F786" s="2"/>
      <c r="G786" s="2"/>
      <c r="H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E787" s="2"/>
      <c r="F787" s="2"/>
      <c r="G787" s="2"/>
      <c r="H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E788" s="2"/>
      <c r="F788" s="2"/>
      <c r="G788" s="2"/>
      <c r="H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E789" s="2"/>
      <c r="F789" s="2"/>
      <c r="G789" s="2"/>
      <c r="H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E790" s="2"/>
      <c r="F790" s="2"/>
      <c r="G790" s="2"/>
      <c r="H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E791" s="2"/>
      <c r="F791" s="2"/>
      <c r="G791" s="2"/>
      <c r="H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E792" s="2"/>
      <c r="F792" s="2"/>
      <c r="G792" s="2"/>
      <c r="H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E793" s="2"/>
      <c r="F793" s="2"/>
      <c r="G793" s="2"/>
      <c r="H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E794" s="2"/>
      <c r="F794" s="2"/>
      <c r="G794" s="2"/>
      <c r="H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E795" s="2"/>
      <c r="F795" s="2"/>
      <c r="G795" s="2"/>
      <c r="H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E796" s="2"/>
      <c r="F796" s="2"/>
      <c r="G796" s="2"/>
      <c r="H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E797" s="2"/>
      <c r="F797" s="2"/>
      <c r="G797" s="2"/>
      <c r="H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E798" s="2"/>
      <c r="F798" s="2"/>
      <c r="G798" s="2"/>
      <c r="H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E799" s="2"/>
      <c r="F799" s="2"/>
      <c r="G799" s="2"/>
      <c r="H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E800" s="2"/>
      <c r="F800" s="2"/>
      <c r="G800" s="2"/>
      <c r="H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E801" s="2"/>
      <c r="F801" s="2"/>
      <c r="G801" s="2"/>
      <c r="H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E802" s="2"/>
      <c r="F802" s="2"/>
      <c r="G802" s="2"/>
      <c r="H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E803" s="2"/>
      <c r="F803" s="2"/>
      <c r="G803" s="2"/>
      <c r="H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E804" s="2"/>
      <c r="F804" s="2"/>
      <c r="G804" s="2"/>
      <c r="H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E805" s="2"/>
      <c r="F805" s="2"/>
      <c r="G805" s="2"/>
      <c r="H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E806" s="2"/>
      <c r="F806" s="2"/>
      <c r="G806" s="2"/>
      <c r="H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E807" s="2"/>
      <c r="F807" s="2"/>
      <c r="G807" s="2"/>
      <c r="H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E808" s="2"/>
      <c r="F808" s="2"/>
      <c r="G808" s="2"/>
      <c r="H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E809" s="2"/>
      <c r="F809" s="2"/>
      <c r="G809" s="2"/>
      <c r="H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E810" s="2"/>
      <c r="F810" s="2"/>
      <c r="G810" s="2"/>
      <c r="H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E811" s="2"/>
      <c r="F811" s="2"/>
      <c r="G811" s="2"/>
      <c r="H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E812" s="2"/>
      <c r="F812" s="2"/>
      <c r="G812" s="2"/>
      <c r="H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E813" s="2"/>
      <c r="F813" s="2"/>
      <c r="G813" s="2"/>
      <c r="H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E814" s="2"/>
      <c r="F814" s="2"/>
      <c r="G814" s="2"/>
      <c r="H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E815" s="2"/>
      <c r="F815" s="2"/>
      <c r="G815" s="2"/>
      <c r="H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E816" s="2"/>
      <c r="F816" s="2"/>
      <c r="G816" s="2"/>
      <c r="H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E817" s="2"/>
      <c r="F817" s="2"/>
      <c r="G817" s="2"/>
      <c r="H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E818" s="2"/>
      <c r="F818" s="2"/>
      <c r="G818" s="2"/>
      <c r="H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E819" s="2"/>
      <c r="F819" s="2"/>
      <c r="G819" s="2"/>
      <c r="H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E820" s="2"/>
      <c r="F820" s="2"/>
      <c r="G820" s="2"/>
      <c r="H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E821" s="2"/>
      <c r="F821" s="2"/>
      <c r="G821" s="2"/>
      <c r="H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E822" s="2"/>
      <c r="F822" s="2"/>
      <c r="G822" s="2"/>
      <c r="H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E823" s="2"/>
      <c r="F823" s="2"/>
      <c r="G823" s="2"/>
      <c r="H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E824" s="2"/>
      <c r="F824" s="2"/>
      <c r="G824" s="2"/>
      <c r="H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E825" s="2"/>
      <c r="F825" s="2"/>
      <c r="G825" s="2"/>
      <c r="H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E826" s="2"/>
      <c r="F826" s="2"/>
      <c r="G826" s="2"/>
      <c r="H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E827" s="2"/>
      <c r="F827" s="2"/>
      <c r="G827" s="2"/>
      <c r="H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E828" s="2"/>
      <c r="F828" s="2"/>
      <c r="G828" s="2"/>
      <c r="H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E829" s="2"/>
      <c r="F829" s="2"/>
      <c r="G829" s="2"/>
      <c r="H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E830" s="2"/>
      <c r="F830" s="2"/>
      <c r="G830" s="2"/>
      <c r="H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E831" s="2"/>
      <c r="F831" s="2"/>
      <c r="G831" s="2"/>
      <c r="H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E832" s="2"/>
      <c r="F832" s="2"/>
      <c r="G832" s="2"/>
      <c r="H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E833" s="2"/>
      <c r="F833" s="2"/>
      <c r="G833" s="2"/>
      <c r="H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E834" s="2"/>
      <c r="F834" s="2"/>
      <c r="G834" s="2"/>
      <c r="H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E835" s="2"/>
      <c r="F835" s="2"/>
      <c r="G835" s="2"/>
      <c r="H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E836" s="2"/>
      <c r="F836" s="2"/>
      <c r="G836" s="2"/>
      <c r="H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E837" s="2"/>
      <c r="F837" s="2"/>
      <c r="G837" s="2"/>
      <c r="H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E838" s="2"/>
      <c r="F838" s="2"/>
      <c r="G838" s="2"/>
      <c r="H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E839" s="2"/>
      <c r="F839" s="2"/>
      <c r="G839" s="2"/>
      <c r="H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E840" s="2"/>
      <c r="F840" s="2"/>
      <c r="G840" s="2"/>
      <c r="H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E841" s="2"/>
      <c r="F841" s="2"/>
      <c r="G841" s="2"/>
      <c r="H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E842" s="2"/>
      <c r="F842" s="2"/>
      <c r="G842" s="2"/>
      <c r="H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E843" s="2"/>
      <c r="F843" s="2"/>
      <c r="G843" s="2"/>
      <c r="H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E844" s="2"/>
      <c r="F844" s="2"/>
      <c r="G844" s="2"/>
      <c r="H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E845" s="2"/>
      <c r="F845" s="2"/>
      <c r="G845" s="2"/>
      <c r="H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E846" s="2"/>
      <c r="F846" s="2"/>
      <c r="G846" s="2"/>
      <c r="H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E847" s="2"/>
      <c r="F847" s="2"/>
      <c r="G847" s="2"/>
      <c r="H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E848" s="2"/>
      <c r="F848" s="2"/>
      <c r="G848" s="2"/>
      <c r="H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E849" s="2"/>
      <c r="F849" s="2"/>
      <c r="G849" s="2"/>
      <c r="H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E850" s="2"/>
      <c r="F850" s="2"/>
      <c r="G850" s="2"/>
      <c r="H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E851" s="2"/>
      <c r="F851" s="2"/>
      <c r="G851" s="2"/>
      <c r="H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E852" s="2"/>
      <c r="F852" s="2"/>
      <c r="G852" s="2"/>
      <c r="H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E853" s="2"/>
      <c r="F853" s="2"/>
      <c r="G853" s="2"/>
      <c r="H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E854" s="2"/>
      <c r="F854" s="2"/>
      <c r="G854" s="2"/>
      <c r="H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E855" s="2"/>
      <c r="F855" s="2"/>
      <c r="G855" s="2"/>
      <c r="H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E856" s="2"/>
      <c r="F856" s="2"/>
      <c r="G856" s="2"/>
      <c r="H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E857" s="2"/>
      <c r="F857" s="2"/>
      <c r="G857" s="2"/>
      <c r="H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E858" s="2"/>
      <c r="F858" s="2"/>
      <c r="G858" s="2"/>
      <c r="H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E859" s="2"/>
      <c r="F859" s="2"/>
      <c r="G859" s="2"/>
      <c r="H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E860" s="2"/>
      <c r="F860" s="2"/>
      <c r="G860" s="2"/>
      <c r="H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E861" s="2"/>
      <c r="F861" s="2"/>
      <c r="G861" s="2"/>
      <c r="H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E862" s="2"/>
      <c r="F862" s="2"/>
      <c r="G862" s="2"/>
      <c r="H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E863" s="2"/>
      <c r="F863" s="2"/>
      <c r="G863" s="2"/>
      <c r="H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E864" s="2"/>
      <c r="F864" s="2"/>
      <c r="G864" s="2"/>
      <c r="H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E865" s="2"/>
      <c r="F865" s="2"/>
      <c r="G865" s="2"/>
      <c r="H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E866" s="2"/>
      <c r="F866" s="2"/>
      <c r="G866" s="2"/>
      <c r="H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E867" s="2"/>
      <c r="F867" s="2"/>
      <c r="G867" s="2"/>
      <c r="H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E868" s="2"/>
      <c r="F868" s="2"/>
      <c r="G868" s="2"/>
      <c r="H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E869" s="2"/>
      <c r="F869" s="2"/>
      <c r="G869" s="2"/>
      <c r="H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E870" s="2"/>
      <c r="F870" s="2"/>
      <c r="G870" s="2"/>
      <c r="H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E871" s="2"/>
      <c r="F871" s="2"/>
      <c r="G871" s="2"/>
      <c r="H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E872" s="2"/>
      <c r="F872" s="2"/>
      <c r="G872" s="2"/>
      <c r="H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E873" s="2"/>
      <c r="F873" s="2"/>
      <c r="G873" s="2"/>
      <c r="H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E874" s="2"/>
      <c r="F874" s="2"/>
      <c r="G874" s="2"/>
      <c r="H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E875" s="2"/>
      <c r="F875" s="2"/>
      <c r="G875" s="2"/>
      <c r="H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E876" s="2"/>
      <c r="F876" s="2"/>
      <c r="G876" s="2"/>
      <c r="H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E877" s="2"/>
      <c r="F877" s="2"/>
      <c r="G877" s="2"/>
      <c r="H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E878" s="2"/>
      <c r="F878" s="2"/>
      <c r="G878" s="2"/>
      <c r="H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E879" s="2"/>
      <c r="F879" s="2"/>
      <c r="G879" s="2"/>
      <c r="H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E880" s="2"/>
      <c r="F880" s="2"/>
      <c r="G880" s="2"/>
      <c r="H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E881" s="2"/>
      <c r="F881" s="2"/>
      <c r="G881" s="2"/>
      <c r="H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E882" s="2"/>
      <c r="F882" s="2"/>
      <c r="G882" s="2"/>
      <c r="H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E883" s="2"/>
      <c r="F883" s="2"/>
      <c r="G883" s="2"/>
      <c r="H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E884" s="2"/>
      <c r="F884" s="2"/>
      <c r="G884" s="2"/>
      <c r="H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E885" s="2"/>
      <c r="F885" s="2"/>
      <c r="G885" s="2"/>
      <c r="H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E886" s="2"/>
      <c r="F886" s="2"/>
      <c r="G886" s="2"/>
      <c r="H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E887" s="2"/>
      <c r="F887" s="2"/>
      <c r="G887" s="2"/>
      <c r="H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E888" s="2"/>
      <c r="F888" s="2"/>
      <c r="G888" s="2"/>
      <c r="H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E889" s="2"/>
      <c r="F889" s="2"/>
      <c r="G889" s="2"/>
      <c r="H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E890" s="2"/>
      <c r="F890" s="2"/>
      <c r="G890" s="2"/>
      <c r="H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E891" s="2"/>
      <c r="F891" s="2"/>
      <c r="G891" s="2"/>
      <c r="H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E892" s="2"/>
      <c r="F892" s="2"/>
      <c r="G892" s="2"/>
      <c r="H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E893" s="2"/>
      <c r="F893" s="2"/>
      <c r="G893" s="2"/>
      <c r="H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E894" s="2"/>
      <c r="F894" s="2"/>
      <c r="G894" s="2"/>
      <c r="H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E895" s="2"/>
      <c r="F895" s="2"/>
      <c r="G895" s="2"/>
      <c r="H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E896" s="2"/>
      <c r="F896" s="2"/>
      <c r="G896" s="2"/>
      <c r="H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E897" s="2"/>
      <c r="F897" s="2"/>
      <c r="G897" s="2"/>
      <c r="H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E898" s="2"/>
      <c r="F898" s="2"/>
      <c r="G898" s="2"/>
      <c r="H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E899" s="2"/>
      <c r="F899" s="2"/>
      <c r="G899" s="2"/>
      <c r="H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E900" s="2"/>
      <c r="F900" s="2"/>
      <c r="G900" s="2"/>
      <c r="H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E901" s="2"/>
      <c r="F901" s="2"/>
      <c r="G901" s="2"/>
      <c r="H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E902" s="2"/>
      <c r="F902" s="2"/>
      <c r="G902" s="2"/>
      <c r="H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E903" s="2"/>
      <c r="F903" s="2"/>
      <c r="G903" s="2"/>
      <c r="H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E904" s="2"/>
      <c r="F904" s="2"/>
      <c r="G904" s="2"/>
      <c r="H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E905" s="2"/>
      <c r="F905" s="2"/>
      <c r="G905" s="2"/>
      <c r="H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E906" s="2"/>
      <c r="F906" s="2"/>
      <c r="G906" s="2"/>
      <c r="H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E907" s="2"/>
      <c r="F907" s="2"/>
      <c r="G907" s="2"/>
      <c r="H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E908" s="2"/>
      <c r="F908" s="2"/>
      <c r="G908" s="2"/>
      <c r="H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E909" s="2"/>
      <c r="F909" s="2"/>
      <c r="G909" s="2"/>
      <c r="H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E910" s="2"/>
      <c r="F910" s="2"/>
      <c r="G910" s="2"/>
      <c r="H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E911" s="2"/>
      <c r="F911" s="2"/>
      <c r="G911" s="2"/>
      <c r="H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E912" s="2"/>
      <c r="F912" s="2"/>
      <c r="G912" s="2"/>
      <c r="H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E913" s="2"/>
      <c r="F913" s="2"/>
      <c r="G913" s="2"/>
      <c r="H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E914" s="2"/>
      <c r="F914" s="2"/>
      <c r="G914" s="2"/>
      <c r="H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E915" s="2"/>
      <c r="F915" s="2"/>
      <c r="G915" s="2"/>
      <c r="H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E916" s="2"/>
      <c r="F916" s="2"/>
      <c r="G916" s="2"/>
      <c r="H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E917" s="2"/>
      <c r="F917" s="2"/>
      <c r="G917" s="2"/>
      <c r="H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E918" s="2"/>
      <c r="F918" s="2"/>
      <c r="G918" s="2"/>
      <c r="H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E919" s="2"/>
      <c r="F919" s="2"/>
      <c r="G919" s="2"/>
      <c r="H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E920" s="2"/>
      <c r="F920" s="2"/>
      <c r="G920" s="2"/>
      <c r="H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E921" s="2"/>
      <c r="F921" s="2"/>
      <c r="G921" s="2"/>
      <c r="H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E922" s="2"/>
      <c r="F922" s="2"/>
      <c r="G922" s="2"/>
      <c r="H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E923" s="2"/>
      <c r="F923" s="2"/>
      <c r="G923" s="2"/>
      <c r="H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E924" s="2"/>
      <c r="F924" s="2"/>
      <c r="G924" s="2"/>
      <c r="H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E925" s="2"/>
      <c r="F925" s="2"/>
      <c r="G925" s="2"/>
      <c r="H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E926" s="2"/>
      <c r="F926" s="2"/>
      <c r="G926" s="2"/>
      <c r="H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E927" s="2"/>
      <c r="F927" s="2"/>
      <c r="G927" s="2"/>
      <c r="H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E928" s="2"/>
      <c r="F928" s="2"/>
      <c r="G928" s="2"/>
      <c r="H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E929" s="2"/>
      <c r="F929" s="2"/>
      <c r="G929" s="2"/>
      <c r="H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E930" s="2"/>
      <c r="F930" s="2"/>
      <c r="G930" s="2"/>
      <c r="H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E931" s="2"/>
      <c r="F931" s="2"/>
      <c r="G931" s="2"/>
      <c r="H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E932" s="2"/>
      <c r="F932" s="2"/>
      <c r="G932" s="2"/>
      <c r="H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E933" s="2"/>
      <c r="F933" s="2"/>
      <c r="G933" s="2"/>
      <c r="H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E934" s="2"/>
      <c r="F934" s="2"/>
      <c r="G934" s="2"/>
      <c r="H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E935" s="2"/>
      <c r="F935" s="2"/>
      <c r="G935" s="2"/>
      <c r="H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E936" s="2"/>
      <c r="F936" s="2"/>
      <c r="G936" s="2"/>
      <c r="H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E937" s="2"/>
      <c r="F937" s="2"/>
      <c r="G937" s="2"/>
      <c r="H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E938" s="2"/>
      <c r="F938" s="2"/>
      <c r="G938" s="2"/>
      <c r="H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E939" s="2"/>
      <c r="F939" s="2"/>
      <c r="G939" s="2"/>
      <c r="H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E940" s="2"/>
      <c r="F940" s="2"/>
      <c r="G940" s="2"/>
      <c r="H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E941" s="2"/>
      <c r="F941" s="2"/>
      <c r="G941" s="2"/>
      <c r="H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E942" s="2"/>
      <c r="F942" s="2"/>
      <c r="G942" s="2"/>
      <c r="H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E943" s="2"/>
      <c r="F943" s="2"/>
      <c r="G943" s="2"/>
      <c r="H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E944" s="2"/>
      <c r="F944" s="2"/>
      <c r="G944" s="2"/>
      <c r="H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E945" s="2"/>
      <c r="F945" s="2"/>
      <c r="G945" s="2"/>
      <c r="H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E946" s="2"/>
      <c r="F946" s="2"/>
      <c r="G946" s="2"/>
      <c r="H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E947" s="2"/>
      <c r="F947" s="2"/>
      <c r="G947" s="2"/>
      <c r="H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E948" s="2"/>
      <c r="F948" s="2"/>
      <c r="G948" s="2"/>
      <c r="H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E949" s="2"/>
      <c r="F949" s="2"/>
      <c r="G949" s="2"/>
      <c r="H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E950" s="2"/>
      <c r="F950" s="2"/>
      <c r="G950" s="2"/>
      <c r="H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E951" s="2"/>
      <c r="F951" s="2"/>
      <c r="G951" s="2"/>
      <c r="H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E952" s="2"/>
      <c r="F952" s="2"/>
      <c r="G952" s="2"/>
      <c r="H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E953" s="2"/>
      <c r="F953" s="2"/>
      <c r="G953" s="2"/>
      <c r="H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E954" s="2"/>
      <c r="F954" s="2"/>
      <c r="G954" s="2"/>
      <c r="H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E955" s="2"/>
      <c r="F955" s="2"/>
      <c r="G955" s="2"/>
      <c r="H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E956" s="2"/>
      <c r="F956" s="2"/>
      <c r="G956" s="2"/>
      <c r="H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E957" s="2"/>
      <c r="F957" s="2"/>
      <c r="G957" s="2"/>
      <c r="H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E958" s="2"/>
      <c r="F958" s="2"/>
      <c r="G958" s="2"/>
      <c r="H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E959" s="2"/>
      <c r="F959" s="2"/>
      <c r="G959" s="2"/>
      <c r="H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E960" s="2"/>
      <c r="F960" s="2"/>
      <c r="G960" s="2"/>
      <c r="H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E961" s="2"/>
      <c r="F961" s="2"/>
      <c r="G961" s="2"/>
      <c r="H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E962" s="2"/>
      <c r="F962" s="2"/>
      <c r="G962" s="2"/>
      <c r="H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E963" s="2"/>
      <c r="F963" s="2"/>
      <c r="G963" s="2"/>
      <c r="H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E964" s="2"/>
      <c r="F964" s="2"/>
      <c r="G964" s="2"/>
      <c r="H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E965" s="2"/>
      <c r="F965" s="2"/>
      <c r="G965" s="2"/>
      <c r="H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E966" s="2"/>
      <c r="F966" s="2"/>
      <c r="G966" s="2"/>
      <c r="H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E967" s="2"/>
      <c r="F967" s="2"/>
      <c r="G967" s="2"/>
      <c r="H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E968" s="2"/>
      <c r="F968" s="2"/>
      <c r="G968" s="2"/>
      <c r="H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E969" s="2"/>
      <c r="F969" s="2"/>
      <c r="G969" s="2"/>
      <c r="H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E970" s="2"/>
      <c r="F970" s="2"/>
      <c r="G970" s="2"/>
      <c r="H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E971" s="2"/>
      <c r="F971" s="2"/>
      <c r="G971" s="2"/>
      <c r="H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E972" s="2"/>
      <c r="F972" s="2"/>
      <c r="G972" s="2"/>
      <c r="H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E973" s="2"/>
      <c r="F973" s="2"/>
      <c r="G973" s="2"/>
      <c r="H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E974" s="2"/>
      <c r="F974" s="2"/>
      <c r="G974" s="2"/>
      <c r="H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E975" s="2"/>
      <c r="F975" s="2"/>
      <c r="G975" s="2"/>
      <c r="H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E976" s="2"/>
      <c r="F976" s="2"/>
      <c r="G976" s="2"/>
      <c r="H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E977" s="2"/>
      <c r="F977" s="2"/>
      <c r="G977" s="2"/>
      <c r="H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E978" s="2"/>
      <c r="F978" s="2"/>
      <c r="G978" s="2"/>
      <c r="H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E979" s="2"/>
      <c r="F979" s="2"/>
      <c r="G979" s="2"/>
      <c r="H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E980" s="2"/>
      <c r="F980" s="2"/>
      <c r="G980" s="2"/>
      <c r="H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E981" s="2"/>
      <c r="F981" s="2"/>
      <c r="G981" s="2"/>
      <c r="H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E982" s="2"/>
      <c r="F982" s="2"/>
      <c r="G982" s="2"/>
      <c r="H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E983" s="2"/>
      <c r="F983" s="2"/>
      <c r="G983" s="2"/>
      <c r="H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E984" s="2"/>
      <c r="F984" s="2"/>
      <c r="G984" s="2"/>
      <c r="H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E985" s="2"/>
      <c r="F985" s="2"/>
      <c r="G985" s="2"/>
      <c r="H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E986" s="2"/>
      <c r="F986" s="2"/>
      <c r="G986" s="2"/>
      <c r="H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E987" s="2"/>
      <c r="F987" s="2"/>
      <c r="G987" s="2"/>
      <c r="H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E988" s="2"/>
      <c r="F988" s="2"/>
      <c r="G988" s="2"/>
      <c r="H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E989" s="2"/>
      <c r="F989" s="2"/>
      <c r="G989" s="2"/>
      <c r="H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E990" s="2"/>
      <c r="F990" s="2"/>
      <c r="G990" s="2"/>
      <c r="H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E991" s="2"/>
      <c r="F991" s="2"/>
      <c r="G991" s="2"/>
      <c r="H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E992" s="2"/>
      <c r="F992" s="2"/>
      <c r="G992" s="2"/>
      <c r="H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E993" s="2"/>
      <c r="F993" s="2"/>
      <c r="G993" s="2"/>
      <c r="H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E994" s="2"/>
      <c r="F994" s="2"/>
      <c r="G994" s="2"/>
      <c r="H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E995" s="2"/>
      <c r="F995" s="2"/>
      <c r="G995" s="2"/>
      <c r="H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E996" s="2"/>
      <c r="F996" s="2"/>
      <c r="G996" s="2"/>
      <c r="H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E997" s="2"/>
      <c r="F997" s="2"/>
      <c r="G997" s="2"/>
      <c r="H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E998" s="2"/>
      <c r="F998" s="2"/>
      <c r="G998" s="2"/>
      <c r="H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E999" s="2"/>
      <c r="F999" s="2"/>
      <c r="G999" s="2"/>
      <c r="H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E1000" s="2"/>
      <c r="F1000" s="2"/>
      <c r="G1000" s="2"/>
      <c r="H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T2" r:id="rId1" display="mailto:a1@gmail.com" xr:uid="{7B420B51-67F0-4643-9D19-F61D416E2C97}"/>
    <hyperlink ref="T3" r:id="rId2" display="mailto:a2@gmail.com" xr:uid="{5A3A38A5-7BF7-4374-997F-F81A521A8EF3}"/>
    <hyperlink ref="T4" r:id="rId3" display="mailto:a3@gmail.com" xr:uid="{157192A6-79C2-496E-8D6C-BAF3D31156D5}"/>
    <hyperlink ref="T5" r:id="rId4" display="mailto:a4@gmail.com" xr:uid="{356D087B-31C5-411F-B30C-3FD27D9710E9}"/>
    <hyperlink ref="T6" r:id="rId5" display="mailto:a5@gmail.com" xr:uid="{08DB3838-0C35-4B26-AA8F-875666C51895}"/>
    <hyperlink ref="T7" r:id="rId6" display="mailto:a6@gmail.com" xr:uid="{CC4120ED-3965-4C72-8049-81229F6F0D0E}"/>
    <hyperlink ref="T8" r:id="rId7" display="mailto:a7@gmail.com" xr:uid="{33445F45-757C-4EE8-8F3D-468A368994A0}"/>
    <hyperlink ref="T9" r:id="rId8" display="mailto:a8@gmail.com" xr:uid="{389B86FC-469B-4881-8684-6FA9FCFE50BE}"/>
    <hyperlink ref="T10" r:id="rId9" display="mailto:a9@gmail.com" xr:uid="{7E411F59-C2DF-41AD-8E28-F9F2329B7CE8}"/>
    <hyperlink ref="T11" r:id="rId10" display="mailto:a10@gmail.com" xr:uid="{DD6AE135-8178-4BC7-8BCB-4499DD1396FA}"/>
    <hyperlink ref="T12" r:id="rId11" display="mailto:a11@gmail.com" xr:uid="{BA91838D-A399-4444-8D48-6C65B7DF2F07}"/>
    <hyperlink ref="T13" r:id="rId12" display="mailto:a12@gmail.com" xr:uid="{FA2C1F16-9E16-42CB-8A19-DDB8B7C5003E}"/>
    <hyperlink ref="T14" r:id="rId13" display="mailto:a13@gmail.com" xr:uid="{7E1E649B-D147-44D5-B24F-D9FA0B9565E9}"/>
    <hyperlink ref="T15" r:id="rId14" display="mailto:a14@gmail.com" xr:uid="{B004E987-EBA2-4ADA-BD25-895E51B82EC1}"/>
    <hyperlink ref="T16" r:id="rId15" display="mailto:a15@gmail.com" xr:uid="{EDF0C9EF-FAE8-43D6-989A-E506748CDFD4}"/>
    <hyperlink ref="T17" r:id="rId16" display="mailto:a16@gmail.com" xr:uid="{F8BBCC4A-69FB-4534-9E16-814071AD8B7F}"/>
    <hyperlink ref="T18" r:id="rId17" display="mailto:a17@gmail.com" xr:uid="{E916EE30-2010-46D8-B1A7-4C84F2B630D5}"/>
    <hyperlink ref="T19" r:id="rId18" display="mailto:a18@gmail.com" xr:uid="{351A9BFB-116A-49DB-BDCF-3116799C9921}"/>
    <hyperlink ref="T20" r:id="rId19" display="mailto:a19@gmail.com" xr:uid="{AB78A9BF-D55C-4FD4-B735-9348FE9F0693}"/>
    <hyperlink ref="T21" r:id="rId20" display="mailto:a20@gmail.com" xr:uid="{F13AD5B4-6512-4EB2-ACE0-78DFAF7D9126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N8" sqref="N8"/>
    </sheetView>
  </sheetViews>
  <sheetFormatPr defaultColWidth="14.44140625" defaultRowHeight="14.4" x14ac:dyDescent="0.3"/>
  <cols>
    <col min="1" max="1" width="4.77734375" bestFit="1" customWidth="1"/>
    <col min="2" max="2" width="60.88671875" bestFit="1" customWidth="1"/>
    <col min="3" max="3" width="16.88671875" bestFit="1" customWidth="1"/>
    <col min="4" max="4" width="9.77734375" bestFit="1" customWidth="1"/>
    <col min="5" max="5" width="8.6640625" customWidth="1"/>
    <col min="6" max="7" width="10" bestFit="1" customWidth="1"/>
    <col min="8" max="8" width="8" bestFit="1" customWidth="1"/>
    <col min="9" max="9" width="8.6640625" customWidth="1"/>
    <col min="10" max="10" width="7.5546875" bestFit="1" customWidth="1"/>
    <col min="11" max="11" width="8" bestFit="1" customWidth="1"/>
    <col min="12" max="17" width="5" bestFit="1" customWidth="1"/>
    <col min="18" max="18" width="6" bestFit="1" customWidth="1"/>
    <col min="19" max="26" width="8.6640625" customWidth="1"/>
  </cols>
  <sheetData>
    <row r="1" spans="1:26" x14ac:dyDescent="0.3">
      <c r="A1" s="1" t="s">
        <v>0</v>
      </c>
      <c r="B1" s="1" t="s">
        <v>1</v>
      </c>
      <c r="C1" s="2"/>
      <c r="F1" s="9"/>
      <c r="G1" s="9" t="s">
        <v>196</v>
      </c>
      <c r="H1" s="9" t="s">
        <v>197</v>
      </c>
      <c r="I1" s="9" t="s">
        <v>198</v>
      </c>
      <c r="J1" s="9" t="s">
        <v>199</v>
      </c>
      <c r="K1" s="9" t="s">
        <v>200</v>
      </c>
      <c r="L1" s="9" t="s">
        <v>201</v>
      </c>
      <c r="M1" s="9" t="s">
        <v>202</v>
      </c>
      <c r="N1" s="9" t="s">
        <v>203</v>
      </c>
      <c r="O1" s="9" t="s">
        <v>204</v>
      </c>
      <c r="P1" s="9" t="s">
        <v>205</v>
      </c>
      <c r="Q1" s="9" t="s">
        <v>206</v>
      </c>
      <c r="R1" s="9" t="s">
        <v>207</v>
      </c>
      <c r="S1" s="2"/>
      <c r="T1" s="2"/>
      <c r="U1" s="2"/>
      <c r="V1" s="2"/>
      <c r="W1" s="2"/>
      <c r="X1" s="2"/>
      <c r="Y1" s="2"/>
      <c r="Z1" s="2"/>
    </row>
    <row r="2" spans="1:26" x14ac:dyDescent="0.3">
      <c r="A2" s="3" t="s">
        <v>2</v>
      </c>
      <c r="B2" s="4" t="s">
        <v>12</v>
      </c>
      <c r="C2" s="2"/>
      <c r="F2" s="10" t="s">
        <v>104</v>
      </c>
      <c r="G2" s="10">
        <v>5000</v>
      </c>
      <c r="H2" s="10">
        <v>6000</v>
      </c>
      <c r="I2" s="10">
        <v>7000</v>
      </c>
      <c r="J2" s="10">
        <v>8000</v>
      </c>
      <c r="K2" s="10">
        <v>7500</v>
      </c>
      <c r="L2" s="10">
        <v>8200</v>
      </c>
      <c r="M2" s="10">
        <v>9000</v>
      </c>
      <c r="N2" s="10">
        <v>8700</v>
      </c>
      <c r="O2" s="10">
        <v>9200</v>
      </c>
      <c r="P2" s="10">
        <v>9500</v>
      </c>
      <c r="Q2" s="10">
        <v>9800</v>
      </c>
      <c r="R2" s="10">
        <v>10000</v>
      </c>
      <c r="S2" s="2"/>
      <c r="T2" s="2"/>
      <c r="U2" s="2"/>
      <c r="V2" s="2"/>
      <c r="W2" s="2"/>
      <c r="X2" s="2"/>
      <c r="Y2" s="2"/>
      <c r="Z2" s="2"/>
    </row>
    <row r="3" spans="1:26" x14ac:dyDescent="0.3">
      <c r="A3" s="3" t="s">
        <v>4</v>
      </c>
      <c r="B3" s="4" t="s">
        <v>13</v>
      </c>
      <c r="C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" t="s">
        <v>6</v>
      </c>
      <c r="B4" s="4" t="s">
        <v>14</v>
      </c>
      <c r="C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3" t="s">
        <v>8</v>
      </c>
      <c r="B5" s="4" t="s">
        <v>15</v>
      </c>
      <c r="C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8" x14ac:dyDescent="0.3">
      <c r="A6" s="3" t="s">
        <v>10</v>
      </c>
      <c r="B6" s="4" t="s">
        <v>16</v>
      </c>
      <c r="C6" s="2"/>
      <c r="F6" s="9" t="s">
        <v>208</v>
      </c>
      <c r="G6" s="9">
        <v>0</v>
      </c>
      <c r="H6" s="9">
        <v>250000</v>
      </c>
      <c r="I6" s="9">
        <v>500000</v>
      </c>
      <c r="J6" s="9">
        <v>750000</v>
      </c>
      <c r="K6" s="9">
        <v>1000000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2"/>
      <c r="C7" s="2"/>
      <c r="F7" s="10" t="s">
        <v>209</v>
      </c>
      <c r="G7" s="23">
        <v>0</v>
      </c>
      <c r="H7" s="23">
        <v>0.05</v>
      </c>
      <c r="I7" s="23">
        <v>0.1</v>
      </c>
      <c r="J7" s="23">
        <v>0.15</v>
      </c>
      <c r="K7" s="23">
        <v>0.2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19" t="s">
        <v>225</v>
      </c>
      <c r="C8" s="14" t="s">
        <v>226</v>
      </c>
      <c r="D8" s="20" t="s">
        <v>227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16"/>
      <c r="C9" s="14" t="s">
        <v>196</v>
      </c>
      <c r="D9" s="15">
        <f>HLOOKUP(C9,G1:R2,2)</f>
        <v>5000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2"/>
      <c r="C10" s="2"/>
      <c r="F10" s="9" t="s">
        <v>210</v>
      </c>
      <c r="G10" s="9" t="s">
        <v>211</v>
      </c>
      <c r="H10" s="9" t="s">
        <v>212</v>
      </c>
      <c r="I10" s="9" t="s">
        <v>213</v>
      </c>
      <c r="J10" s="9" t="s">
        <v>214</v>
      </c>
      <c r="K10" s="9" t="s">
        <v>215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19" t="s">
        <v>228</v>
      </c>
      <c r="C11" s="14" t="s">
        <v>229</v>
      </c>
      <c r="D11" s="20" t="s">
        <v>230</v>
      </c>
      <c r="F11" s="10" t="s">
        <v>216</v>
      </c>
      <c r="G11" s="23">
        <v>0.1</v>
      </c>
      <c r="H11" s="23">
        <v>0.2</v>
      </c>
      <c r="I11" s="23">
        <v>0.15</v>
      </c>
      <c r="J11" s="23">
        <v>0.05</v>
      </c>
      <c r="K11" s="23">
        <v>0.12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16"/>
      <c r="C12" s="16">
        <v>500000</v>
      </c>
      <c r="D12" s="21">
        <f>HLOOKUP(C12,G6:K7,2)</f>
        <v>0.1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2"/>
      <c r="C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13" t="s">
        <v>14</v>
      </c>
      <c r="C14" s="14" t="s">
        <v>231</v>
      </c>
      <c r="D14" s="20" t="s">
        <v>232</v>
      </c>
      <c r="F14" s="9" t="s">
        <v>217</v>
      </c>
      <c r="G14" s="9" t="s">
        <v>218</v>
      </c>
      <c r="H14" s="9" t="s">
        <v>219</v>
      </c>
      <c r="I14" s="9" t="s">
        <v>220</v>
      </c>
      <c r="J14" s="9" t="s">
        <v>221</v>
      </c>
      <c r="K14" s="9" t="s">
        <v>222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16"/>
      <c r="C15" s="14" t="str">
        <f>K10</f>
        <v>Toys</v>
      </c>
      <c r="D15" s="21">
        <f>HLOOKUP(C15,G10:K11,2)</f>
        <v>0.12</v>
      </c>
      <c r="F15" s="10" t="s">
        <v>223</v>
      </c>
      <c r="G15" s="10">
        <v>83</v>
      </c>
      <c r="H15" s="10">
        <v>105</v>
      </c>
      <c r="I15" s="10">
        <v>23</v>
      </c>
      <c r="J15" s="10">
        <v>0.55000000000000004</v>
      </c>
      <c r="K15" s="10">
        <v>61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13" t="s">
        <v>15</v>
      </c>
      <c r="C17" s="14" t="s">
        <v>233</v>
      </c>
      <c r="D17" s="20" t="s">
        <v>234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16"/>
      <c r="C18" s="14" t="s">
        <v>220</v>
      </c>
      <c r="D18" s="15">
        <f>HLOOKUP(C18,G14:K15,2)</f>
        <v>23</v>
      </c>
      <c r="F18" s="9" t="s">
        <v>136</v>
      </c>
      <c r="G18" s="9">
        <v>0</v>
      </c>
      <c r="H18" s="9">
        <v>40</v>
      </c>
      <c r="I18" s="9">
        <v>50</v>
      </c>
      <c r="J18" s="9">
        <v>60</v>
      </c>
      <c r="K18" s="9">
        <v>70</v>
      </c>
      <c r="L18" s="9">
        <v>80</v>
      </c>
      <c r="M18" s="9">
        <v>90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2"/>
      <c r="F19" s="10" t="s">
        <v>224</v>
      </c>
      <c r="G19" s="23">
        <v>0</v>
      </c>
      <c r="H19" s="23">
        <v>0.4</v>
      </c>
      <c r="I19" s="23">
        <v>0.5</v>
      </c>
      <c r="J19" s="23">
        <v>0.6</v>
      </c>
      <c r="K19" s="23">
        <v>0.7</v>
      </c>
      <c r="L19" s="23">
        <v>0.8</v>
      </c>
      <c r="M19" s="23">
        <v>0.9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13" t="s">
        <v>16</v>
      </c>
      <c r="C20" s="14" t="s">
        <v>144</v>
      </c>
      <c r="D20" s="14" t="s">
        <v>235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16"/>
      <c r="C21" s="16">
        <v>40</v>
      </c>
      <c r="D21" s="22">
        <f>HLOOKUP(C21,G18:M19,2,TRUE)</f>
        <v>0.4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B23" sqref="B23"/>
    </sheetView>
  </sheetViews>
  <sheetFormatPr defaultColWidth="14.44140625" defaultRowHeight="14.4" x14ac:dyDescent="0.3"/>
  <cols>
    <col min="1" max="1" width="4.77734375" bestFit="1" customWidth="1"/>
    <col min="2" max="2" width="63.109375" bestFit="1" customWidth="1"/>
    <col min="3" max="3" width="11.5546875" bestFit="1" customWidth="1"/>
    <col min="4" max="4" width="9.6640625" bestFit="1" customWidth="1"/>
    <col min="5" max="5" width="8.6640625" customWidth="1"/>
    <col min="6" max="6" width="7" bestFit="1" customWidth="1"/>
    <col min="7" max="7" width="7.109375" bestFit="1" customWidth="1"/>
    <col min="8" max="8" width="6.109375" bestFit="1" customWidth="1"/>
    <col min="9" max="9" width="8.6640625" customWidth="1"/>
    <col min="10" max="10" width="11.33203125" bestFit="1" customWidth="1"/>
    <col min="11" max="11" width="7.109375" bestFit="1" customWidth="1"/>
    <col min="12" max="12" width="9.21875" bestFit="1" customWidth="1"/>
    <col min="13" max="13" width="8.6640625" customWidth="1"/>
    <col min="14" max="14" width="11" bestFit="1" customWidth="1"/>
    <col min="15" max="15" width="12.5546875" bestFit="1" customWidth="1"/>
    <col min="16" max="16" width="8.6640625" customWidth="1"/>
    <col min="17" max="17" width="9.88671875" bestFit="1" customWidth="1"/>
    <col min="18" max="18" width="13.21875" bestFit="1" customWidth="1"/>
    <col min="19" max="19" width="5.6640625" bestFit="1" customWidth="1"/>
    <col min="20" max="20" width="8.6640625" customWidth="1"/>
    <col min="21" max="21" width="7" bestFit="1" customWidth="1"/>
    <col min="22" max="22" width="7.109375" bestFit="1" customWidth="1"/>
    <col min="23" max="26" width="8.6640625" customWidth="1"/>
  </cols>
  <sheetData>
    <row r="1" spans="1:26" x14ac:dyDescent="0.3">
      <c r="A1" s="1" t="s">
        <v>0</v>
      </c>
      <c r="B1" s="1" t="s">
        <v>1</v>
      </c>
      <c r="C1" s="2"/>
      <c r="D1" s="2"/>
      <c r="E1" s="2"/>
      <c r="F1" s="7" t="s">
        <v>85</v>
      </c>
      <c r="G1" s="7" t="s">
        <v>86</v>
      </c>
      <c r="H1" s="7" t="s">
        <v>236</v>
      </c>
      <c r="I1" s="2"/>
      <c r="J1" s="7" t="s">
        <v>147</v>
      </c>
      <c r="K1" s="7" t="s">
        <v>86</v>
      </c>
      <c r="L1" s="7" t="s">
        <v>237</v>
      </c>
      <c r="M1" s="2"/>
      <c r="N1" s="7" t="s">
        <v>244</v>
      </c>
      <c r="O1" s="7" t="s">
        <v>245</v>
      </c>
      <c r="P1" s="2"/>
      <c r="Q1" s="7" t="s">
        <v>22</v>
      </c>
      <c r="R1" s="7" t="s">
        <v>23</v>
      </c>
      <c r="S1" s="7" t="s">
        <v>246</v>
      </c>
      <c r="T1" s="2"/>
      <c r="U1" s="7" t="s">
        <v>248</v>
      </c>
      <c r="V1" s="7" t="s">
        <v>86</v>
      </c>
      <c r="W1" s="2"/>
      <c r="X1" s="2"/>
      <c r="Y1" s="2"/>
      <c r="Z1" s="2"/>
    </row>
    <row r="2" spans="1:26" x14ac:dyDescent="0.3">
      <c r="A2" s="3" t="s">
        <v>2</v>
      </c>
      <c r="B2" s="4" t="s">
        <v>17</v>
      </c>
      <c r="C2" s="2"/>
      <c r="D2" s="2"/>
      <c r="E2" s="2"/>
      <c r="F2" s="8" t="s">
        <v>88</v>
      </c>
      <c r="G2" s="8" t="s">
        <v>89</v>
      </c>
      <c r="H2" s="8">
        <v>40000</v>
      </c>
      <c r="I2" s="2"/>
      <c r="J2" s="8" t="s">
        <v>149</v>
      </c>
      <c r="K2" s="8" t="s">
        <v>89</v>
      </c>
      <c r="L2" s="8" t="s">
        <v>238</v>
      </c>
      <c r="M2" s="2"/>
      <c r="N2" s="8" t="s">
        <v>89</v>
      </c>
      <c r="O2" s="8">
        <v>15000</v>
      </c>
      <c r="P2" s="2"/>
      <c r="Q2" s="8" t="s">
        <v>26</v>
      </c>
      <c r="R2" s="8" t="s">
        <v>27</v>
      </c>
      <c r="S2" s="8">
        <v>50</v>
      </c>
      <c r="T2" s="2"/>
      <c r="U2" s="8">
        <v>1</v>
      </c>
      <c r="V2" s="8" t="s">
        <v>89</v>
      </c>
      <c r="W2" s="2"/>
      <c r="X2" s="2"/>
      <c r="Y2" s="2"/>
      <c r="Z2" s="2"/>
    </row>
    <row r="3" spans="1:26" x14ac:dyDescent="0.3">
      <c r="A3" s="3" t="s">
        <v>4</v>
      </c>
      <c r="B3" s="4" t="s">
        <v>18</v>
      </c>
      <c r="C3" s="2"/>
      <c r="D3" s="2"/>
      <c r="E3" s="2"/>
      <c r="F3" s="8" t="s">
        <v>91</v>
      </c>
      <c r="G3" s="8" t="s">
        <v>92</v>
      </c>
      <c r="H3" s="8">
        <v>35000</v>
      </c>
      <c r="I3" s="2"/>
      <c r="J3" s="8" t="s">
        <v>151</v>
      </c>
      <c r="K3" s="8" t="s">
        <v>92</v>
      </c>
      <c r="L3" s="8" t="s">
        <v>239</v>
      </c>
      <c r="M3" s="2"/>
      <c r="N3" s="8" t="s">
        <v>92</v>
      </c>
      <c r="O3" s="8">
        <v>12000</v>
      </c>
      <c r="P3" s="2"/>
      <c r="Q3" s="8" t="s">
        <v>29</v>
      </c>
      <c r="R3" s="8" t="s">
        <v>30</v>
      </c>
      <c r="S3" s="8">
        <v>80</v>
      </c>
      <c r="T3" s="2"/>
      <c r="U3" s="8">
        <v>2</v>
      </c>
      <c r="V3" s="8" t="s">
        <v>92</v>
      </c>
      <c r="W3" s="2"/>
      <c r="X3" s="2"/>
      <c r="Y3" s="2"/>
      <c r="Z3" s="2"/>
    </row>
    <row r="4" spans="1:26" x14ac:dyDescent="0.3">
      <c r="A4" s="3" t="s">
        <v>6</v>
      </c>
      <c r="B4" s="4" t="s">
        <v>19</v>
      </c>
      <c r="C4" s="2"/>
      <c r="D4" s="2"/>
      <c r="E4" s="2"/>
      <c r="F4" s="8" t="s">
        <v>94</v>
      </c>
      <c r="G4" s="8" t="s">
        <v>95</v>
      </c>
      <c r="H4" s="8">
        <v>50000</v>
      </c>
      <c r="I4" s="2"/>
      <c r="J4" s="8" t="s">
        <v>153</v>
      </c>
      <c r="K4" s="8" t="s">
        <v>95</v>
      </c>
      <c r="L4" s="8" t="s">
        <v>240</v>
      </c>
      <c r="M4" s="2"/>
      <c r="N4" s="8" t="s">
        <v>95</v>
      </c>
      <c r="O4" s="8">
        <v>20000</v>
      </c>
      <c r="P4" s="2"/>
      <c r="Q4" s="8" t="s">
        <v>32</v>
      </c>
      <c r="R4" s="8" t="s">
        <v>33</v>
      </c>
      <c r="S4" s="8">
        <v>40</v>
      </c>
      <c r="T4" s="2"/>
      <c r="U4" s="8">
        <v>3</v>
      </c>
      <c r="V4" s="8" t="s">
        <v>95</v>
      </c>
      <c r="W4" s="2"/>
      <c r="X4" s="2"/>
      <c r="Y4" s="2"/>
      <c r="Z4" s="2"/>
    </row>
    <row r="5" spans="1:26" x14ac:dyDescent="0.3">
      <c r="A5" s="3" t="s">
        <v>8</v>
      </c>
      <c r="B5" s="4" t="s">
        <v>20</v>
      </c>
      <c r="C5" s="2"/>
      <c r="D5" s="2"/>
      <c r="E5" s="2"/>
      <c r="F5" s="8" t="s">
        <v>97</v>
      </c>
      <c r="G5" s="8" t="s">
        <v>98</v>
      </c>
      <c r="H5" s="8">
        <v>30000</v>
      </c>
      <c r="I5" s="2"/>
      <c r="J5" s="8" t="s">
        <v>155</v>
      </c>
      <c r="K5" s="8" t="s">
        <v>98</v>
      </c>
      <c r="L5" s="8" t="s">
        <v>241</v>
      </c>
      <c r="M5" s="2"/>
      <c r="N5" s="8" t="s">
        <v>98</v>
      </c>
      <c r="O5" s="8">
        <v>8000</v>
      </c>
      <c r="P5" s="2"/>
      <c r="Q5" s="8" t="s">
        <v>35</v>
      </c>
      <c r="R5" s="8" t="s">
        <v>36</v>
      </c>
      <c r="S5" s="8">
        <v>60</v>
      </c>
      <c r="T5" s="2"/>
      <c r="U5" s="8">
        <v>4</v>
      </c>
      <c r="V5" s="8" t="s">
        <v>98</v>
      </c>
      <c r="W5" s="2"/>
      <c r="X5" s="2"/>
      <c r="Y5" s="2"/>
      <c r="Z5" s="2"/>
    </row>
    <row r="6" spans="1:26" x14ac:dyDescent="0.3">
      <c r="A6" s="3" t="s">
        <v>10</v>
      </c>
      <c r="B6" s="4" t="s">
        <v>21</v>
      </c>
      <c r="C6" s="2"/>
      <c r="D6" s="2"/>
      <c r="E6" s="2"/>
      <c r="F6" s="8" t="s">
        <v>100</v>
      </c>
      <c r="G6" s="8" t="s">
        <v>101</v>
      </c>
      <c r="H6" s="8">
        <v>55000</v>
      </c>
      <c r="I6" s="2"/>
      <c r="J6" s="8" t="s">
        <v>157</v>
      </c>
      <c r="K6" s="8" t="s">
        <v>101</v>
      </c>
      <c r="L6" s="8" t="s">
        <v>242</v>
      </c>
      <c r="M6" s="2"/>
      <c r="N6" s="8" t="s">
        <v>101</v>
      </c>
      <c r="O6" s="8">
        <v>22000</v>
      </c>
      <c r="P6" s="2"/>
      <c r="Q6" s="8" t="s">
        <v>38</v>
      </c>
      <c r="R6" s="8" t="s">
        <v>39</v>
      </c>
      <c r="S6" s="8">
        <v>150</v>
      </c>
      <c r="T6" s="2"/>
      <c r="U6" s="8">
        <v>5</v>
      </c>
      <c r="V6" s="8" t="s">
        <v>101</v>
      </c>
      <c r="W6" s="2"/>
      <c r="X6" s="2"/>
      <c r="Y6" s="2"/>
      <c r="Z6" s="2"/>
    </row>
    <row r="7" spans="1:26" x14ac:dyDescent="0.3">
      <c r="A7" s="2"/>
      <c r="B7" s="2"/>
      <c r="C7" s="2"/>
      <c r="D7" s="2"/>
      <c r="E7" s="2"/>
      <c r="F7" s="8" t="s">
        <v>102</v>
      </c>
      <c r="G7" s="8" t="s">
        <v>103</v>
      </c>
      <c r="H7" s="8">
        <v>28000</v>
      </c>
      <c r="I7" s="2"/>
      <c r="J7" s="8" t="s">
        <v>159</v>
      </c>
      <c r="K7" s="8" t="s">
        <v>103</v>
      </c>
      <c r="L7" s="8" t="s">
        <v>243</v>
      </c>
      <c r="M7" s="2"/>
      <c r="N7" s="8" t="s">
        <v>103</v>
      </c>
      <c r="O7" s="8">
        <v>9000</v>
      </c>
      <c r="P7" s="2"/>
      <c r="Q7" s="8" t="s">
        <v>41</v>
      </c>
      <c r="R7" s="8" t="s">
        <v>42</v>
      </c>
      <c r="S7" s="8">
        <v>200</v>
      </c>
      <c r="T7" s="2"/>
      <c r="U7" s="8">
        <v>6</v>
      </c>
      <c r="V7" s="8" t="s">
        <v>103</v>
      </c>
      <c r="W7" s="2"/>
      <c r="X7" s="2"/>
      <c r="Y7" s="2"/>
      <c r="Z7" s="2"/>
    </row>
    <row r="8" spans="1:26" x14ac:dyDescent="0.3">
      <c r="A8" s="2"/>
      <c r="B8" s="13" t="s">
        <v>17</v>
      </c>
      <c r="C8" s="14" t="s">
        <v>133</v>
      </c>
      <c r="D8" s="14" t="s">
        <v>249</v>
      </c>
      <c r="E8" s="2"/>
      <c r="F8" s="8" t="s">
        <v>105</v>
      </c>
      <c r="G8" s="8" t="s">
        <v>106</v>
      </c>
      <c r="H8" s="8">
        <v>42000</v>
      </c>
      <c r="I8" s="2"/>
      <c r="J8" s="8" t="s">
        <v>161</v>
      </c>
      <c r="K8" s="8" t="s">
        <v>106</v>
      </c>
      <c r="L8" s="8" t="s">
        <v>240</v>
      </c>
      <c r="M8" s="2"/>
      <c r="N8" s="8" t="s">
        <v>106</v>
      </c>
      <c r="O8" s="8">
        <v>14000</v>
      </c>
      <c r="P8" s="2"/>
      <c r="Q8" s="8" t="s">
        <v>44</v>
      </c>
      <c r="R8" s="8" t="s">
        <v>45</v>
      </c>
      <c r="S8" s="8">
        <v>30</v>
      </c>
      <c r="T8" s="2"/>
      <c r="U8" s="8">
        <v>7</v>
      </c>
      <c r="V8" s="8" t="s">
        <v>106</v>
      </c>
      <c r="W8" s="2"/>
      <c r="X8" s="2"/>
      <c r="Y8" s="2"/>
      <c r="Z8" s="2"/>
    </row>
    <row r="9" spans="1:26" x14ac:dyDescent="0.3">
      <c r="A9" s="2"/>
      <c r="B9" s="16"/>
      <c r="C9" s="14" t="s">
        <v>88</v>
      </c>
      <c r="D9" s="16">
        <f>INDEX(H2:H21,MATCH(C9,F2:F21))</f>
        <v>40000</v>
      </c>
      <c r="E9" s="2"/>
      <c r="F9" s="8" t="s">
        <v>107</v>
      </c>
      <c r="G9" s="8" t="s">
        <v>108</v>
      </c>
      <c r="H9" s="8">
        <v>60000</v>
      </c>
      <c r="I9" s="2"/>
      <c r="J9" s="8" t="s">
        <v>163</v>
      </c>
      <c r="K9" s="8" t="s">
        <v>108</v>
      </c>
      <c r="L9" s="8" t="s">
        <v>239</v>
      </c>
      <c r="M9" s="2"/>
      <c r="N9" s="8" t="s">
        <v>108</v>
      </c>
      <c r="O9" s="8">
        <v>25000</v>
      </c>
      <c r="P9" s="2"/>
      <c r="Q9" s="8" t="s">
        <v>47</v>
      </c>
      <c r="R9" s="8" t="s">
        <v>48</v>
      </c>
      <c r="S9" s="8">
        <v>25</v>
      </c>
      <c r="T9" s="2"/>
      <c r="U9" s="8">
        <v>8</v>
      </c>
      <c r="V9" s="8" t="s">
        <v>108</v>
      </c>
      <c r="W9" s="2"/>
      <c r="X9" s="2"/>
      <c r="Y9" s="2"/>
      <c r="Z9" s="2"/>
    </row>
    <row r="10" spans="1:26" x14ac:dyDescent="0.3">
      <c r="A10" s="2"/>
      <c r="B10" s="2"/>
      <c r="C10" s="2"/>
      <c r="D10" s="2"/>
      <c r="E10" s="2"/>
      <c r="F10" s="8" t="s">
        <v>109</v>
      </c>
      <c r="G10" s="8" t="s">
        <v>110</v>
      </c>
      <c r="H10" s="8">
        <v>32000</v>
      </c>
      <c r="I10" s="2"/>
      <c r="J10" s="8" t="s">
        <v>165</v>
      </c>
      <c r="K10" s="8" t="s">
        <v>110</v>
      </c>
      <c r="L10" s="8" t="s">
        <v>241</v>
      </c>
      <c r="M10" s="2"/>
      <c r="N10" s="8" t="s">
        <v>110</v>
      </c>
      <c r="O10" s="8">
        <v>11000</v>
      </c>
      <c r="P10" s="2"/>
      <c r="Q10" s="8" t="s">
        <v>50</v>
      </c>
      <c r="R10" s="8" t="s">
        <v>51</v>
      </c>
      <c r="S10" s="8">
        <v>70</v>
      </c>
      <c r="T10" s="2"/>
      <c r="U10" s="8">
        <v>9</v>
      </c>
      <c r="V10" s="8" t="s">
        <v>110</v>
      </c>
      <c r="W10" s="2"/>
      <c r="X10" s="2"/>
      <c r="Y10" s="2"/>
      <c r="Z10" s="2"/>
    </row>
    <row r="11" spans="1:26" x14ac:dyDescent="0.3">
      <c r="A11" s="2"/>
      <c r="B11" s="13" t="s">
        <v>18</v>
      </c>
      <c r="C11" s="14" t="s">
        <v>133</v>
      </c>
      <c r="D11" s="14" t="s">
        <v>250</v>
      </c>
      <c r="E11" s="2"/>
      <c r="F11" s="8" t="s">
        <v>111</v>
      </c>
      <c r="G11" s="8" t="s">
        <v>112</v>
      </c>
      <c r="H11" s="8">
        <v>48000</v>
      </c>
      <c r="I11" s="2"/>
      <c r="J11" s="8" t="s">
        <v>167</v>
      </c>
      <c r="K11" s="8" t="s">
        <v>112</v>
      </c>
      <c r="L11" s="8" t="s">
        <v>242</v>
      </c>
      <c r="M11" s="2"/>
      <c r="N11" s="8" t="s">
        <v>112</v>
      </c>
      <c r="O11" s="8">
        <v>18000</v>
      </c>
      <c r="P11" s="2"/>
      <c r="Q11" s="8" t="s">
        <v>53</v>
      </c>
      <c r="R11" s="8" t="s">
        <v>54</v>
      </c>
      <c r="S11" s="8">
        <v>55</v>
      </c>
      <c r="T11" s="2"/>
      <c r="U11" s="8">
        <v>10</v>
      </c>
      <c r="V11" s="8" t="s">
        <v>112</v>
      </c>
      <c r="W11" s="2"/>
      <c r="X11" s="2"/>
      <c r="Y11" s="2"/>
      <c r="Z11" s="2"/>
    </row>
    <row r="12" spans="1:26" x14ac:dyDescent="0.3">
      <c r="A12" s="2"/>
      <c r="B12" s="16"/>
      <c r="C12" s="14" t="s">
        <v>149</v>
      </c>
      <c r="D12" s="16" t="str">
        <f>INDEX(L2:L21,MATCH(C12,J2:J21))</f>
        <v>Surat</v>
      </c>
      <c r="E12" s="2"/>
      <c r="F12" s="8" t="s">
        <v>113</v>
      </c>
      <c r="G12" s="8" t="s">
        <v>114</v>
      </c>
      <c r="H12" s="8">
        <v>37000</v>
      </c>
      <c r="I12" s="2"/>
      <c r="J12" s="8" t="s">
        <v>169</v>
      </c>
      <c r="K12" s="8" t="s">
        <v>114</v>
      </c>
      <c r="L12" s="8" t="s">
        <v>238</v>
      </c>
      <c r="M12" s="2"/>
      <c r="N12" s="8" t="s">
        <v>114</v>
      </c>
      <c r="O12" s="8">
        <v>13000</v>
      </c>
      <c r="P12" s="2"/>
      <c r="Q12" s="8" t="s">
        <v>56</v>
      </c>
      <c r="R12" s="8" t="s">
        <v>57</v>
      </c>
      <c r="S12" s="8">
        <v>45</v>
      </c>
      <c r="T12" s="2"/>
      <c r="U12" s="8">
        <v>11</v>
      </c>
      <c r="V12" s="8" t="s">
        <v>114</v>
      </c>
      <c r="W12" s="2"/>
      <c r="X12" s="2"/>
      <c r="Y12" s="2"/>
      <c r="Z12" s="2"/>
    </row>
    <row r="13" spans="1:26" x14ac:dyDescent="0.3">
      <c r="A13" s="2"/>
      <c r="B13" s="2"/>
      <c r="C13" s="2"/>
      <c r="D13" s="2"/>
      <c r="E13" s="2"/>
      <c r="F13" s="8" t="s">
        <v>115</v>
      </c>
      <c r="G13" s="8" t="s">
        <v>116</v>
      </c>
      <c r="H13" s="8">
        <v>45000</v>
      </c>
      <c r="I13" s="2"/>
      <c r="J13" s="8" t="s">
        <v>171</v>
      </c>
      <c r="K13" s="8" t="s">
        <v>116</v>
      </c>
      <c r="L13" s="8" t="s">
        <v>240</v>
      </c>
      <c r="M13" s="2"/>
      <c r="N13" s="8" t="s">
        <v>116</v>
      </c>
      <c r="O13" s="8">
        <v>16000</v>
      </c>
      <c r="P13" s="2"/>
      <c r="Q13" s="8" t="s">
        <v>59</v>
      </c>
      <c r="R13" s="8" t="s">
        <v>60</v>
      </c>
      <c r="S13" s="8">
        <v>90</v>
      </c>
      <c r="T13" s="2"/>
      <c r="U13" s="8">
        <v>12</v>
      </c>
      <c r="V13" s="8" t="s">
        <v>116</v>
      </c>
      <c r="W13" s="2"/>
      <c r="X13" s="2"/>
      <c r="Y13" s="2"/>
      <c r="Z13" s="2"/>
    </row>
    <row r="14" spans="1:26" x14ac:dyDescent="0.3">
      <c r="A14" s="2"/>
      <c r="B14" s="13" t="s">
        <v>19</v>
      </c>
      <c r="C14" s="14" t="s">
        <v>251</v>
      </c>
      <c r="D14" s="14" t="s">
        <v>252</v>
      </c>
      <c r="E14" s="2"/>
      <c r="F14" s="8" t="s">
        <v>117</v>
      </c>
      <c r="G14" s="8" t="s">
        <v>118</v>
      </c>
      <c r="H14" s="8">
        <v>52000</v>
      </c>
      <c r="I14" s="2"/>
      <c r="J14" s="8" t="s">
        <v>173</v>
      </c>
      <c r="K14" s="8" t="s">
        <v>118</v>
      </c>
      <c r="L14" s="8" t="s">
        <v>239</v>
      </c>
      <c r="M14" s="2"/>
      <c r="N14" s="8" t="s">
        <v>118</v>
      </c>
      <c r="O14" s="8">
        <v>21000</v>
      </c>
      <c r="P14" s="2"/>
      <c r="Q14" s="8" t="s">
        <v>62</v>
      </c>
      <c r="R14" s="8" t="s">
        <v>63</v>
      </c>
      <c r="S14" s="8">
        <v>35</v>
      </c>
      <c r="T14" s="2"/>
      <c r="U14" s="8">
        <v>13</v>
      </c>
      <c r="V14" s="8" t="s">
        <v>118</v>
      </c>
      <c r="W14" s="2"/>
      <c r="X14" s="2"/>
      <c r="Y14" s="2"/>
      <c r="Z14" s="2"/>
    </row>
    <row r="15" spans="1:26" x14ac:dyDescent="0.3">
      <c r="A15" s="2"/>
      <c r="B15" s="16"/>
      <c r="C15" s="14" t="s">
        <v>89</v>
      </c>
      <c r="D15" s="16">
        <f>INDEX(O2:O21,MATCH(C15,N2:N21))</f>
        <v>15000</v>
      </c>
      <c r="E15" s="2"/>
      <c r="F15" s="8" t="s">
        <v>119</v>
      </c>
      <c r="G15" s="8" t="s">
        <v>120</v>
      </c>
      <c r="H15" s="8">
        <v>47000</v>
      </c>
      <c r="I15" s="2"/>
      <c r="J15" s="8" t="s">
        <v>175</v>
      </c>
      <c r="K15" s="8" t="s">
        <v>120</v>
      </c>
      <c r="L15" s="8" t="s">
        <v>241</v>
      </c>
      <c r="M15" s="2"/>
      <c r="N15" s="8" t="s">
        <v>120</v>
      </c>
      <c r="O15" s="8">
        <v>17000</v>
      </c>
      <c r="P15" s="2"/>
      <c r="Q15" s="8" t="s">
        <v>65</v>
      </c>
      <c r="R15" s="8" t="s">
        <v>66</v>
      </c>
      <c r="S15" s="8">
        <v>120</v>
      </c>
      <c r="T15" s="2"/>
      <c r="U15" s="8">
        <v>14</v>
      </c>
      <c r="V15" s="8" t="s">
        <v>120</v>
      </c>
      <c r="W15" s="2"/>
      <c r="X15" s="2"/>
      <c r="Y15" s="2"/>
      <c r="Z15" s="2"/>
    </row>
    <row r="16" spans="1:26" x14ac:dyDescent="0.3">
      <c r="A16" s="2"/>
      <c r="B16" s="2"/>
      <c r="C16" s="2"/>
      <c r="D16" s="2"/>
      <c r="E16" s="2"/>
      <c r="F16" s="8" t="s">
        <v>121</v>
      </c>
      <c r="G16" s="8" t="s">
        <v>122</v>
      </c>
      <c r="H16" s="8">
        <v>39000</v>
      </c>
      <c r="I16" s="2"/>
      <c r="J16" s="8" t="s">
        <v>177</v>
      </c>
      <c r="K16" s="8" t="s">
        <v>122</v>
      </c>
      <c r="L16" s="8" t="s">
        <v>242</v>
      </c>
      <c r="M16" s="2"/>
      <c r="N16" s="8" t="s">
        <v>122</v>
      </c>
      <c r="O16" s="8">
        <v>12500</v>
      </c>
      <c r="P16" s="2"/>
      <c r="Q16" s="8" t="s">
        <v>68</v>
      </c>
      <c r="R16" s="8" t="s">
        <v>69</v>
      </c>
      <c r="S16" s="8">
        <v>140</v>
      </c>
      <c r="T16" s="2"/>
      <c r="U16" s="8">
        <v>15</v>
      </c>
      <c r="V16" s="8" t="s">
        <v>122</v>
      </c>
      <c r="W16" s="2"/>
      <c r="X16" s="2"/>
      <c r="Y16" s="2"/>
      <c r="Z16" s="2"/>
    </row>
    <row r="17" spans="1:26" x14ac:dyDescent="0.3">
      <c r="A17" s="2"/>
      <c r="B17" s="13" t="s">
        <v>20</v>
      </c>
      <c r="C17" s="14" t="s">
        <v>253</v>
      </c>
      <c r="D17" s="14" t="s">
        <v>254</v>
      </c>
      <c r="E17" s="2"/>
      <c r="F17" s="8" t="s">
        <v>123</v>
      </c>
      <c r="G17" s="8" t="s">
        <v>124</v>
      </c>
      <c r="H17" s="8">
        <v>65000</v>
      </c>
      <c r="I17" s="2"/>
      <c r="J17" s="8" t="s">
        <v>179</v>
      </c>
      <c r="K17" s="8" t="s">
        <v>124</v>
      </c>
      <c r="L17" s="8" t="s">
        <v>238</v>
      </c>
      <c r="M17" s="2"/>
      <c r="N17" s="8" t="s">
        <v>124</v>
      </c>
      <c r="O17" s="8">
        <v>27000</v>
      </c>
      <c r="P17" s="2"/>
      <c r="Q17" s="8" t="s">
        <v>71</v>
      </c>
      <c r="R17" s="8" t="s">
        <v>72</v>
      </c>
      <c r="S17" s="8">
        <v>160</v>
      </c>
      <c r="T17" s="2"/>
      <c r="U17" s="8">
        <v>16</v>
      </c>
      <c r="V17" s="8" t="s">
        <v>124</v>
      </c>
      <c r="W17" s="2"/>
      <c r="X17" s="2"/>
      <c r="Y17" s="2"/>
      <c r="Z17" s="2"/>
    </row>
    <row r="18" spans="1:26" x14ac:dyDescent="0.3">
      <c r="A18" s="2"/>
      <c r="B18" s="16"/>
      <c r="C18" s="14" t="s">
        <v>57</v>
      </c>
      <c r="D18" s="16">
        <f>INDEX(S2:S21,MATCH(C18,R2:R21,0))</f>
        <v>45</v>
      </c>
      <c r="E18" s="2"/>
      <c r="F18" s="8" t="s">
        <v>125</v>
      </c>
      <c r="G18" s="8" t="s">
        <v>126</v>
      </c>
      <c r="H18" s="8">
        <v>31000</v>
      </c>
      <c r="I18" s="2"/>
      <c r="J18" s="8" t="s">
        <v>181</v>
      </c>
      <c r="K18" s="8" t="s">
        <v>126</v>
      </c>
      <c r="L18" s="8" t="s">
        <v>243</v>
      </c>
      <c r="M18" s="2"/>
      <c r="N18" s="8" t="s">
        <v>126</v>
      </c>
      <c r="O18" s="8">
        <v>10000</v>
      </c>
      <c r="P18" s="2"/>
      <c r="Q18" s="8" t="s">
        <v>73</v>
      </c>
      <c r="R18" s="8" t="s">
        <v>74</v>
      </c>
      <c r="S18" s="8">
        <v>20</v>
      </c>
      <c r="T18" s="2"/>
      <c r="U18" s="8">
        <v>17</v>
      </c>
      <c r="V18" s="8" t="s">
        <v>126</v>
      </c>
      <c r="W18" s="2"/>
      <c r="X18" s="2"/>
      <c r="Y18" s="2"/>
      <c r="Z18" s="2"/>
    </row>
    <row r="19" spans="1:26" x14ac:dyDescent="0.3">
      <c r="A19" s="2"/>
      <c r="B19" s="2"/>
      <c r="C19" s="2"/>
      <c r="D19" s="2"/>
      <c r="E19" s="2"/>
      <c r="F19" s="8" t="s">
        <v>127</v>
      </c>
      <c r="G19" s="8" t="s">
        <v>128</v>
      </c>
      <c r="H19" s="8">
        <v>53000</v>
      </c>
      <c r="I19" s="2"/>
      <c r="J19" s="8" t="s">
        <v>183</v>
      </c>
      <c r="K19" s="8" t="s">
        <v>128</v>
      </c>
      <c r="L19" s="8" t="s">
        <v>239</v>
      </c>
      <c r="M19" s="2"/>
      <c r="N19" s="8" t="s">
        <v>128</v>
      </c>
      <c r="O19" s="8">
        <v>19000</v>
      </c>
      <c r="P19" s="2"/>
      <c r="Q19" s="8" t="s">
        <v>76</v>
      </c>
      <c r="R19" s="8" t="s">
        <v>77</v>
      </c>
      <c r="S19" s="8">
        <v>15</v>
      </c>
      <c r="T19" s="2"/>
      <c r="U19" s="8">
        <v>18</v>
      </c>
      <c r="V19" s="8" t="s">
        <v>128</v>
      </c>
      <c r="W19" s="2"/>
      <c r="X19" s="2"/>
      <c r="Y19" s="2"/>
      <c r="Z19" s="2"/>
    </row>
    <row r="20" spans="1:26" x14ac:dyDescent="0.3">
      <c r="A20" s="2"/>
      <c r="B20" s="13" t="s">
        <v>21</v>
      </c>
      <c r="C20" s="14" t="s">
        <v>255</v>
      </c>
      <c r="D20" s="14" t="s">
        <v>256</v>
      </c>
      <c r="E20" s="2"/>
      <c r="F20" s="8" t="s">
        <v>129</v>
      </c>
      <c r="G20" s="8" t="s">
        <v>130</v>
      </c>
      <c r="H20" s="8">
        <v>36000</v>
      </c>
      <c r="I20" s="2"/>
      <c r="J20" s="8" t="s">
        <v>185</v>
      </c>
      <c r="K20" s="8" t="s">
        <v>130</v>
      </c>
      <c r="L20" s="8" t="s">
        <v>240</v>
      </c>
      <c r="M20" s="2"/>
      <c r="N20" s="8" t="s">
        <v>130</v>
      </c>
      <c r="O20" s="8">
        <v>11500</v>
      </c>
      <c r="P20" s="2"/>
      <c r="Q20" s="8" t="s">
        <v>78</v>
      </c>
      <c r="R20" s="8" t="s">
        <v>247</v>
      </c>
      <c r="S20" s="8">
        <v>18</v>
      </c>
      <c r="T20" s="2"/>
      <c r="U20" s="8">
        <v>19</v>
      </c>
      <c r="V20" s="8" t="s">
        <v>130</v>
      </c>
      <c r="W20" s="2"/>
      <c r="X20" s="2"/>
      <c r="Y20" s="2"/>
      <c r="Z20" s="2"/>
    </row>
    <row r="21" spans="1:26" x14ac:dyDescent="0.3">
      <c r="A21" s="2"/>
      <c r="B21" s="16"/>
      <c r="C21" s="16">
        <v>10</v>
      </c>
      <c r="D21" s="16" t="str">
        <f>INDEX(V2:V21,MATCH(C21,U2:U21,0))</f>
        <v>Arjun</v>
      </c>
      <c r="E21" s="2"/>
      <c r="F21" s="8" t="s">
        <v>131</v>
      </c>
      <c r="G21" s="8" t="s">
        <v>132</v>
      </c>
      <c r="H21" s="8">
        <v>58000</v>
      </c>
      <c r="I21" s="2"/>
      <c r="J21" s="8" t="s">
        <v>187</v>
      </c>
      <c r="K21" s="8" t="s">
        <v>132</v>
      </c>
      <c r="L21" s="8" t="s">
        <v>242</v>
      </c>
      <c r="M21" s="2"/>
      <c r="N21" s="8" t="s">
        <v>132</v>
      </c>
      <c r="O21" s="8">
        <v>23000</v>
      </c>
      <c r="P21" s="2"/>
      <c r="Q21" s="8" t="s">
        <v>80</v>
      </c>
      <c r="R21" s="8" t="s">
        <v>81</v>
      </c>
      <c r="S21" s="8">
        <v>75</v>
      </c>
      <c r="T21" s="2"/>
      <c r="U21" s="8">
        <v>20</v>
      </c>
      <c r="V21" s="8" t="s">
        <v>132</v>
      </c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 Function</vt:lpstr>
      <vt:lpstr>HLOOKUP Function</vt:lpstr>
      <vt:lpstr>INDEX and MATCH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Bhesania</cp:lastModifiedBy>
  <dcterms:modified xsi:type="dcterms:W3CDTF">2026-04-16T10:50:00Z</dcterms:modified>
</cp:coreProperties>
</file>