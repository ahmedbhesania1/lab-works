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231" documentId="11_1711E32CD263C3E33293E6E16DB7A023EE8A5BB6" xr6:coauthVersionLast="47" xr6:coauthVersionMax="47" xr10:uidLastSave="{573A2852-ABE1-4101-B900-0B4742381ABF}"/>
  <bookViews>
    <workbookView xWindow="-108" yWindow="-108" windowWidth="23256" windowHeight="12456" activeTab="2" xr2:uid="{00000000-000D-0000-FFFF-FFFF00000000}"/>
  </bookViews>
  <sheets>
    <sheet name="XLOOKUP Function" sheetId="1" r:id="rId1"/>
    <sheet name="XMATCH Function" sheetId="2" r:id="rId2"/>
    <sheet name="INDIRECT Function" sheetId="3" r:id="rId3"/>
    <sheet name="NAME" sheetId="5" r:id="rId4"/>
    <sheet name="OFFSET Function" sheetId="4" r:id="rId5"/>
  </sheets>
  <definedNames>
    <definedName name="Marks">'INDIRECT Function'!$H$2:$H$21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4" l="1" a="1"/>
  <c r="C24" i="4" s="1"/>
  <c r="C22" i="4"/>
  <c r="C20" i="4"/>
  <c r="C16" i="4" a="1"/>
  <c r="C16" i="4" s="1"/>
  <c r="D11" i="4" a="1"/>
  <c r="D11" i="4" s="1"/>
  <c r="D22" i="2"/>
  <c r="D19" i="2"/>
  <c r="D16" i="2"/>
  <c r="D13" i="2"/>
  <c r="D10" i="2"/>
  <c r="D22" i="1"/>
  <c r="D19" i="1"/>
  <c r="D16" i="1"/>
  <c r="D13" i="1"/>
  <c r="D10" i="1"/>
  <c r="D19" i="3" a="1"/>
  <c r="C16" i="3" a="1"/>
  <c r="C14" i="3"/>
  <c r="C12" i="3" a="1"/>
  <c r="D10" i="3" a="1"/>
  <c r="D19" i="3" l="1"/>
  <c r="C16" i="3"/>
  <c r="C12" i="3"/>
  <c r="D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<sst xmlns="http://schemas.openxmlformats.org/spreadsheetml/2006/main" count="286" uniqueCount="130">
  <si>
    <t>Task</t>
  </si>
  <si>
    <t>Chellenge</t>
  </si>
  <si>
    <t>1</t>
  </si>
  <si>
    <t>Find the price of a product based on its name using XLOOKUP.</t>
  </si>
  <si>
    <t>2</t>
  </si>
  <si>
    <t>Retrieve the employee ID of a person given their name using XLOOKUP.</t>
  </si>
  <si>
    <t>3</t>
  </si>
  <si>
    <t>Use XLOOKUP to get the corresponding department of an employee.</t>
  </si>
  <si>
    <t>4</t>
  </si>
  <si>
    <t>Find the stock quantity of a specific item in an inventory using XLOOKUP.</t>
  </si>
  <si>
    <t>Use XLOOKUP with a default value when the search key is not found.</t>
  </si>
  <si>
    <t>Find the position of a specific item in a list using XMATCH.</t>
  </si>
  <si>
    <t>Determine the rank of a student in a sorted list using XMATCH.</t>
  </si>
  <si>
    <t>Use XMATCH to locate an employee’s position in an employee database.</t>
  </si>
  <si>
    <t>Find the first occurrence of a value greater than a given number using XMATCH.</t>
  </si>
  <si>
    <t>Use XMATCH to check if a product exists in a list and return its position.</t>
  </si>
  <si>
    <t>Use INDIRECT to refer to a cell dynamically based on user input.</t>
  </si>
  <si>
    <t>Create a dynamic reference to a different worksheet using INDIRECT.</t>
  </si>
  <si>
    <t>Use INDIRECT to reference a named range in a formula.</t>
  </si>
  <si>
    <t>Combine INDIRECT with ROW function to fetch values dynamically.</t>
  </si>
  <si>
    <t>Utilize INDIRECT with concatenation to retrieve specific column values.</t>
  </si>
  <si>
    <t>Use OFFSET to create a dynamic range that expands based on input.</t>
  </si>
  <si>
    <t>Retrieve the value of a cell that is a specific number of rows and columns away.</t>
  </si>
  <si>
    <t>Use OFFSET with COUNTA to create a dynamic chart range.</t>
  </si>
  <si>
    <t>Combine OFFSET with SUM to calculate totals dynamically.</t>
  </si>
  <si>
    <t>Use OFFSET to generate a dynamic list of the last five entries in a dataset.</t>
  </si>
  <si>
    <t>Product Name</t>
  </si>
  <si>
    <t>Price</t>
  </si>
  <si>
    <t>Laptop</t>
  </si>
  <si>
    <t>Mobile</t>
  </si>
  <si>
    <t>Tablet</t>
  </si>
  <si>
    <t>Monitor</t>
  </si>
  <si>
    <t>Keyboard</t>
  </si>
  <si>
    <t>Mouse</t>
  </si>
  <si>
    <t>Printer</t>
  </si>
  <si>
    <t>Camera</t>
  </si>
  <si>
    <t>Speaker</t>
  </si>
  <si>
    <t>Hard Disk</t>
  </si>
  <si>
    <t>SSD</t>
  </si>
  <si>
    <t>Router</t>
  </si>
  <si>
    <t>Smartwatch</t>
  </si>
  <si>
    <t>Earbuds</t>
  </si>
  <si>
    <t>Power Bank</t>
  </si>
  <si>
    <t>Charger</t>
  </si>
  <si>
    <t>Projector</t>
  </si>
  <si>
    <t>TV</t>
  </si>
  <si>
    <t>Console</t>
  </si>
  <si>
    <t>Webcam</t>
  </si>
  <si>
    <t>Name</t>
  </si>
  <si>
    <t>Emp ID</t>
  </si>
  <si>
    <t>Department</t>
  </si>
  <si>
    <t>Ahmed</t>
  </si>
  <si>
    <t>E101</t>
  </si>
  <si>
    <t>IT</t>
  </si>
  <si>
    <t>Rahul</t>
  </si>
  <si>
    <t>E102</t>
  </si>
  <si>
    <t>HR</t>
  </si>
  <si>
    <t>Sneha</t>
  </si>
  <si>
    <t>E103</t>
  </si>
  <si>
    <t>Finance</t>
  </si>
  <si>
    <t>Aman</t>
  </si>
  <si>
    <t>E104</t>
  </si>
  <si>
    <t>Marketing</t>
  </si>
  <si>
    <t>Priya</t>
  </si>
  <si>
    <t>E105</t>
  </si>
  <si>
    <t>Karan</t>
  </si>
  <si>
    <t>E106</t>
  </si>
  <si>
    <t>Sales</t>
  </si>
  <si>
    <t>Neha</t>
  </si>
  <si>
    <t>E107</t>
  </si>
  <si>
    <t>Rohan</t>
  </si>
  <si>
    <t>E108</t>
  </si>
  <si>
    <t>Meena</t>
  </si>
  <si>
    <t>E109</t>
  </si>
  <si>
    <t>Arjun</t>
  </si>
  <si>
    <t>E110</t>
  </si>
  <si>
    <t>Pooja</t>
  </si>
  <si>
    <t>E111</t>
  </si>
  <si>
    <t>Vivek</t>
  </si>
  <si>
    <t>E112</t>
  </si>
  <si>
    <t>Kavya</t>
  </si>
  <si>
    <t>E113</t>
  </si>
  <si>
    <t>Rohit</t>
  </si>
  <si>
    <t>E114</t>
  </si>
  <si>
    <t>Anjali</t>
  </si>
  <si>
    <t>E115</t>
  </si>
  <si>
    <t>Suresh</t>
  </si>
  <si>
    <t>E116</t>
  </si>
  <si>
    <t>Tina</t>
  </si>
  <si>
    <t>E117</t>
  </si>
  <si>
    <t>Manish</t>
  </si>
  <si>
    <t>E118</t>
  </si>
  <si>
    <t>Rekha</t>
  </si>
  <si>
    <t>E119</t>
  </si>
  <si>
    <t>Deepak</t>
  </si>
  <si>
    <t>E120</t>
  </si>
  <si>
    <t>Item</t>
  </si>
  <si>
    <t>Stock</t>
  </si>
  <si>
    <t>SEARCH NAME</t>
  </si>
  <si>
    <t>PRODUCT</t>
  </si>
  <si>
    <t>ID</t>
  </si>
  <si>
    <t>DEPARTMENT</t>
  </si>
  <si>
    <t>SEARCH ITEM</t>
  </si>
  <si>
    <t>STOCK</t>
  </si>
  <si>
    <t>Ahmedd</t>
  </si>
  <si>
    <t>Position</t>
  </si>
  <si>
    <t>Product</t>
  </si>
  <si>
    <t>Rank Position</t>
  </si>
  <si>
    <t>Marks</t>
  </si>
  <si>
    <t>Employee Name</t>
  </si>
  <si>
    <t>Values</t>
  </si>
  <si>
    <t>INDEX</t>
  </si>
  <si>
    <t>STUDENT</t>
  </si>
  <si>
    <t>RANK</t>
  </si>
  <si>
    <t>NAME</t>
  </si>
  <si>
    <t>POSITION</t>
  </si>
  <si>
    <t>NUMBER</t>
  </si>
  <si>
    <t>1st OCCURRENCE</t>
  </si>
  <si>
    <t>EXISTENCE</t>
  </si>
  <si>
    <t>Day</t>
  </si>
  <si>
    <t>INPUT</t>
  </si>
  <si>
    <t>OUTPUT</t>
  </si>
  <si>
    <t>A (Jan)</t>
  </si>
  <si>
    <t>B (Feb)</t>
  </si>
  <si>
    <t>C (Mar)</t>
  </si>
  <si>
    <t>F2</t>
  </si>
  <si>
    <t>AHMED</t>
  </si>
  <si>
    <t>G</t>
  </si>
  <si>
    <t>COLUMN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</si>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</sst>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O6" sqref="O6"/>
    </sheetView>
  </sheetViews>
  <sheetFormatPr defaultColWidth="11.88671875" defaultRowHeight="14.4" x14ac:dyDescent="0.3"/>
  <cols>
    <col min="1" max="1" width="4.77734375" bestFit="1" customWidth="1"/>
    <col min="2" max="2" width="60.88671875" bestFit="1" customWidth="1"/>
    <col min="3" max="3" width="13.109375" bestFit="1" customWidth="1"/>
    <col min="4" max="4" width="12.44140625" bestFit="1" customWidth="1"/>
    <col min="6" max="6" width="13.21875" bestFit="1" customWidth="1"/>
    <col min="7" max="7" width="6" bestFit="1" customWidth="1"/>
    <col min="9" max="9" width="7.109375" bestFit="1" customWidth="1"/>
    <col min="10" max="10" width="7" bestFit="1" customWidth="1"/>
    <col min="11" max="11" width="11.109375" bestFit="1" customWidth="1"/>
    <col min="13" max="13" width="10.77734375" bestFit="1" customWidth="1"/>
    <col min="14" max="14" width="5.6640625" bestFit="1" customWidth="1"/>
  </cols>
  <sheetData>
    <row r="1" spans="1:26" x14ac:dyDescent="0.3">
      <c r="A1" s="1" t="s">
        <v>0</v>
      </c>
      <c r="B1" s="1" t="s">
        <v>1</v>
      </c>
      <c r="C1" s="2"/>
      <c r="D1" s="2"/>
      <c r="E1" s="2"/>
      <c r="F1" s="8" t="s">
        <v>26</v>
      </c>
      <c r="G1" s="8" t="s">
        <v>27</v>
      </c>
      <c r="H1" s="2"/>
      <c r="I1" s="8" t="s">
        <v>48</v>
      </c>
      <c r="J1" s="8" t="s">
        <v>49</v>
      </c>
      <c r="K1" s="8" t="s">
        <v>50</v>
      </c>
      <c r="L1" s="2"/>
      <c r="M1" s="8" t="s">
        <v>96</v>
      </c>
      <c r="N1" s="8" t="s">
        <v>97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4" t="s">
        <v>3</v>
      </c>
      <c r="C2" s="2"/>
      <c r="D2" s="2"/>
      <c r="E2" s="2"/>
      <c r="F2" s="9" t="s">
        <v>28</v>
      </c>
      <c r="G2" s="9">
        <v>50000</v>
      </c>
      <c r="H2" s="2"/>
      <c r="I2" s="9" t="s">
        <v>51</v>
      </c>
      <c r="J2" s="9" t="s">
        <v>52</v>
      </c>
      <c r="K2" s="9" t="s">
        <v>53</v>
      </c>
      <c r="L2" s="2"/>
      <c r="M2" s="9" t="s">
        <v>28</v>
      </c>
      <c r="N2" s="9">
        <v>50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5</v>
      </c>
      <c r="C3" s="2"/>
      <c r="D3" s="2"/>
      <c r="E3" s="2"/>
      <c r="F3" s="9" t="s">
        <v>29</v>
      </c>
      <c r="G3" s="9">
        <v>20000</v>
      </c>
      <c r="H3" s="2"/>
      <c r="I3" s="9" t="s">
        <v>54</v>
      </c>
      <c r="J3" s="9" t="s">
        <v>55</v>
      </c>
      <c r="K3" s="9" t="s">
        <v>56</v>
      </c>
      <c r="L3" s="2"/>
      <c r="M3" s="9" t="s">
        <v>29</v>
      </c>
      <c r="N3" s="9">
        <v>80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7</v>
      </c>
      <c r="C4" s="2"/>
      <c r="D4" s="2"/>
      <c r="E4" s="2"/>
      <c r="F4" s="9" t="s">
        <v>30</v>
      </c>
      <c r="G4" s="9">
        <v>15000</v>
      </c>
      <c r="H4" s="2"/>
      <c r="I4" s="9" t="s">
        <v>57</v>
      </c>
      <c r="J4" s="9" t="s">
        <v>58</v>
      </c>
      <c r="K4" s="9" t="s">
        <v>59</v>
      </c>
      <c r="L4" s="2"/>
      <c r="M4" s="9" t="s">
        <v>30</v>
      </c>
      <c r="N4" s="9">
        <v>40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9</v>
      </c>
      <c r="C5" s="2"/>
      <c r="D5" s="2"/>
      <c r="E5" s="2"/>
      <c r="F5" s="9" t="s">
        <v>31</v>
      </c>
      <c r="G5" s="9">
        <v>12000</v>
      </c>
      <c r="H5" s="2"/>
      <c r="I5" s="9" t="s">
        <v>60</v>
      </c>
      <c r="J5" s="9" t="s">
        <v>61</v>
      </c>
      <c r="K5" s="9" t="s">
        <v>62</v>
      </c>
      <c r="L5" s="2"/>
      <c r="M5" s="9" t="s">
        <v>31</v>
      </c>
      <c r="N5" s="9">
        <v>60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>
        <v>5</v>
      </c>
      <c r="B6" s="4" t="s">
        <v>10</v>
      </c>
      <c r="C6" s="2"/>
      <c r="D6" s="2"/>
      <c r="E6" s="2"/>
      <c r="F6" s="9" t="s">
        <v>32</v>
      </c>
      <c r="G6" s="9">
        <v>1500</v>
      </c>
      <c r="H6" s="2"/>
      <c r="I6" s="9" t="s">
        <v>63</v>
      </c>
      <c r="J6" s="9" t="s">
        <v>64</v>
      </c>
      <c r="K6" s="9" t="s">
        <v>53</v>
      </c>
      <c r="L6" s="2"/>
      <c r="M6" s="9" t="s">
        <v>32</v>
      </c>
      <c r="N6" s="9">
        <v>150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5"/>
      <c r="C7" s="2"/>
      <c r="D7" s="2"/>
      <c r="E7" s="2"/>
      <c r="F7" s="9" t="s">
        <v>33</v>
      </c>
      <c r="G7" s="9">
        <v>800</v>
      </c>
      <c r="H7" s="2"/>
      <c r="I7" s="9" t="s">
        <v>65</v>
      </c>
      <c r="J7" s="9" t="s">
        <v>66</v>
      </c>
      <c r="K7" s="9" t="s">
        <v>67</v>
      </c>
      <c r="L7" s="2"/>
      <c r="M7" s="9" t="s">
        <v>33</v>
      </c>
      <c r="N7" s="9">
        <v>200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5"/>
      <c r="C8" s="2"/>
      <c r="D8" s="2"/>
      <c r="E8" s="2"/>
      <c r="F8" s="9" t="s">
        <v>34</v>
      </c>
      <c r="G8" s="9">
        <v>9000</v>
      </c>
      <c r="H8" s="2"/>
      <c r="I8" s="9" t="s">
        <v>68</v>
      </c>
      <c r="J8" s="9" t="s">
        <v>69</v>
      </c>
      <c r="K8" s="9" t="s">
        <v>56</v>
      </c>
      <c r="L8" s="2"/>
      <c r="M8" s="9" t="s">
        <v>34</v>
      </c>
      <c r="N8" s="9">
        <v>30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6" t="s">
        <v>3</v>
      </c>
      <c r="C9" s="7" t="s">
        <v>98</v>
      </c>
      <c r="D9" s="7" t="s">
        <v>99</v>
      </c>
      <c r="E9" s="2"/>
      <c r="F9" s="9" t="s">
        <v>35</v>
      </c>
      <c r="G9" s="9">
        <v>30000</v>
      </c>
      <c r="H9" s="2"/>
      <c r="I9" s="9" t="s">
        <v>70</v>
      </c>
      <c r="J9" s="9" t="s">
        <v>71</v>
      </c>
      <c r="K9" s="9" t="s">
        <v>59</v>
      </c>
      <c r="L9" s="2"/>
      <c r="M9" s="9" t="s">
        <v>35</v>
      </c>
      <c r="N9" s="9">
        <v>25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6"/>
      <c r="C10" s="7" t="s">
        <v>38</v>
      </c>
      <c r="D10" s="7">
        <f>_xlfn.XLOOKUP(C10,F2:F21,G2:G21)</f>
        <v>7000</v>
      </c>
      <c r="E10" s="2"/>
      <c r="F10" s="9" t="s">
        <v>36</v>
      </c>
      <c r="G10" s="9">
        <v>4000</v>
      </c>
      <c r="H10" s="2"/>
      <c r="I10" s="9" t="s">
        <v>72</v>
      </c>
      <c r="J10" s="9" t="s">
        <v>73</v>
      </c>
      <c r="K10" s="9" t="s">
        <v>62</v>
      </c>
      <c r="L10" s="2"/>
      <c r="M10" s="9" t="s">
        <v>36</v>
      </c>
      <c r="N10" s="9">
        <v>70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5"/>
      <c r="C11" s="2"/>
      <c r="D11" s="2"/>
      <c r="E11" s="2"/>
      <c r="F11" s="9" t="s">
        <v>37</v>
      </c>
      <c r="G11" s="9">
        <v>6000</v>
      </c>
      <c r="H11" s="2"/>
      <c r="I11" s="9" t="s">
        <v>74</v>
      </c>
      <c r="J11" s="9" t="s">
        <v>75</v>
      </c>
      <c r="K11" s="9" t="s">
        <v>53</v>
      </c>
      <c r="L11" s="2"/>
      <c r="M11" s="9" t="s">
        <v>37</v>
      </c>
      <c r="N11" s="9">
        <v>55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6" t="s">
        <v>5</v>
      </c>
      <c r="C12" s="7" t="s">
        <v>98</v>
      </c>
      <c r="D12" s="7" t="s">
        <v>100</v>
      </c>
      <c r="E12" s="2"/>
      <c r="F12" s="9" t="s">
        <v>38</v>
      </c>
      <c r="G12" s="9">
        <v>7000</v>
      </c>
      <c r="H12" s="2"/>
      <c r="I12" s="9" t="s">
        <v>76</v>
      </c>
      <c r="J12" s="9" t="s">
        <v>77</v>
      </c>
      <c r="K12" s="9" t="s">
        <v>56</v>
      </c>
      <c r="L12" s="2"/>
      <c r="M12" s="9" t="s">
        <v>38</v>
      </c>
      <c r="N12" s="9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6"/>
      <c r="C13" s="7" t="s">
        <v>51</v>
      </c>
      <c r="D13" s="7" t="str">
        <f>_xlfn.XLOOKUP(C13,I2:I21,J2:J21)</f>
        <v>E101</v>
      </c>
      <c r="E13" s="2"/>
      <c r="F13" s="9" t="s">
        <v>39</v>
      </c>
      <c r="G13" s="9">
        <v>2500</v>
      </c>
      <c r="H13" s="2"/>
      <c r="I13" s="9" t="s">
        <v>78</v>
      </c>
      <c r="J13" s="9" t="s">
        <v>79</v>
      </c>
      <c r="K13" s="9" t="s">
        <v>67</v>
      </c>
      <c r="L13" s="2"/>
      <c r="M13" s="9" t="s">
        <v>39</v>
      </c>
      <c r="N13" s="9">
        <v>90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5"/>
      <c r="C14" s="2"/>
      <c r="D14" s="2"/>
      <c r="E14" s="2"/>
      <c r="F14" s="9" t="s">
        <v>40</v>
      </c>
      <c r="G14" s="9">
        <v>8000</v>
      </c>
      <c r="H14" s="2"/>
      <c r="I14" s="9" t="s">
        <v>80</v>
      </c>
      <c r="J14" s="9" t="s">
        <v>81</v>
      </c>
      <c r="K14" s="9" t="s">
        <v>53</v>
      </c>
      <c r="L14" s="2"/>
      <c r="M14" s="9" t="s">
        <v>40</v>
      </c>
      <c r="N14" s="9">
        <v>35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6" t="s">
        <v>7</v>
      </c>
      <c r="C15" s="7" t="s">
        <v>98</v>
      </c>
      <c r="D15" s="7" t="s">
        <v>101</v>
      </c>
      <c r="E15" s="2"/>
      <c r="F15" s="9" t="s">
        <v>41</v>
      </c>
      <c r="G15" s="9">
        <v>3000</v>
      </c>
      <c r="H15" s="2"/>
      <c r="I15" s="9" t="s">
        <v>82</v>
      </c>
      <c r="J15" s="9" t="s">
        <v>83</v>
      </c>
      <c r="K15" s="9" t="s">
        <v>59</v>
      </c>
      <c r="L15" s="2"/>
      <c r="M15" s="9" t="s">
        <v>41</v>
      </c>
      <c r="N15" s="9">
        <v>120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6"/>
      <c r="C16" s="7" t="s">
        <v>51</v>
      </c>
      <c r="D16" s="7" t="str">
        <f>_xlfn.XLOOKUP(C16,I2:I21,K2:K21)</f>
        <v>IT</v>
      </c>
      <c r="E16" s="2"/>
      <c r="F16" s="9" t="s">
        <v>42</v>
      </c>
      <c r="G16" s="9">
        <v>2000</v>
      </c>
      <c r="H16" s="2"/>
      <c r="I16" s="9" t="s">
        <v>84</v>
      </c>
      <c r="J16" s="9" t="s">
        <v>85</v>
      </c>
      <c r="K16" s="9" t="s">
        <v>62</v>
      </c>
      <c r="L16" s="2"/>
      <c r="M16" s="9" t="s">
        <v>42</v>
      </c>
      <c r="N16" s="9">
        <v>140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5"/>
      <c r="C17" s="2"/>
      <c r="D17" s="2"/>
      <c r="E17" s="2"/>
      <c r="F17" s="9" t="s">
        <v>43</v>
      </c>
      <c r="G17" s="9">
        <v>1200</v>
      </c>
      <c r="H17" s="2"/>
      <c r="I17" s="9" t="s">
        <v>86</v>
      </c>
      <c r="J17" s="9" t="s">
        <v>87</v>
      </c>
      <c r="K17" s="9" t="s">
        <v>53</v>
      </c>
      <c r="L17" s="2"/>
      <c r="M17" s="9" t="s">
        <v>43</v>
      </c>
      <c r="N17" s="9">
        <v>160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6" t="s">
        <v>9</v>
      </c>
      <c r="C18" s="7" t="s">
        <v>102</v>
      </c>
      <c r="D18" s="7" t="s">
        <v>103</v>
      </c>
      <c r="E18" s="2"/>
      <c r="F18" s="9" t="s">
        <v>44</v>
      </c>
      <c r="G18" s="9">
        <v>45000</v>
      </c>
      <c r="H18" s="2"/>
      <c r="I18" s="9" t="s">
        <v>88</v>
      </c>
      <c r="J18" s="9" t="s">
        <v>89</v>
      </c>
      <c r="K18" s="9" t="s">
        <v>56</v>
      </c>
      <c r="L18" s="2"/>
      <c r="M18" s="9" t="s">
        <v>44</v>
      </c>
      <c r="N18" s="9">
        <v>20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6"/>
      <c r="C19" s="7" t="s">
        <v>28</v>
      </c>
      <c r="D19" s="7">
        <f>_xlfn.XLOOKUP(C19,M2:M21,N2:N21)</f>
        <v>50</v>
      </c>
      <c r="E19" s="2"/>
      <c r="F19" s="9" t="s">
        <v>45</v>
      </c>
      <c r="G19" s="9">
        <v>55000</v>
      </c>
      <c r="H19" s="2"/>
      <c r="I19" s="9" t="s">
        <v>90</v>
      </c>
      <c r="J19" s="9" t="s">
        <v>91</v>
      </c>
      <c r="K19" s="9" t="s">
        <v>67</v>
      </c>
      <c r="L19" s="2"/>
      <c r="M19" s="9" t="s">
        <v>45</v>
      </c>
      <c r="N19" s="9"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5"/>
      <c r="C20" s="2"/>
      <c r="D20" s="2"/>
      <c r="E20" s="2"/>
      <c r="F20" s="9" t="s">
        <v>46</v>
      </c>
      <c r="G20" s="9">
        <v>40000</v>
      </c>
      <c r="H20" s="2"/>
      <c r="I20" s="9" t="s">
        <v>92</v>
      </c>
      <c r="J20" s="9" t="s">
        <v>93</v>
      </c>
      <c r="K20" s="9" t="s">
        <v>59</v>
      </c>
      <c r="L20" s="2"/>
      <c r="M20" s="9" t="s">
        <v>46</v>
      </c>
      <c r="N20" s="9">
        <v>18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6" t="s">
        <v>10</v>
      </c>
      <c r="C21" s="7" t="s">
        <v>98</v>
      </c>
      <c r="D21" s="7" t="s">
        <v>100</v>
      </c>
      <c r="E21" s="2"/>
      <c r="F21" s="9" t="s">
        <v>47</v>
      </c>
      <c r="G21" s="9">
        <v>3500</v>
      </c>
      <c r="H21" s="2"/>
      <c r="I21" s="9" t="s">
        <v>94</v>
      </c>
      <c r="J21" s="9" t="s">
        <v>95</v>
      </c>
      <c r="K21" s="9" t="s">
        <v>53</v>
      </c>
      <c r="L21" s="2"/>
      <c r="M21" s="9" t="s">
        <v>47</v>
      </c>
      <c r="N21" s="9">
        <v>75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6"/>
      <c r="C22" s="7" t="s">
        <v>104</v>
      </c>
      <c r="D22" s="7" t="str">
        <f>_xlfn.XLOOKUP(C22,I2:I21,K2:K21,"Not found")</f>
        <v>Not found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5" sqref="D5"/>
    </sheetView>
  </sheetViews>
  <sheetFormatPr defaultColWidth="14.44140625" defaultRowHeight="14.4" x14ac:dyDescent="0.3"/>
  <cols>
    <col min="1" max="1" width="4.77734375" bestFit="1" customWidth="1"/>
    <col min="2" max="2" width="66.5546875" bestFit="1" customWidth="1"/>
    <col min="3" max="3" width="12.109375" bestFit="1" customWidth="1"/>
    <col min="4" max="4" width="15.5546875" bestFit="1" customWidth="1"/>
    <col min="5" max="5" width="8.6640625" customWidth="1"/>
    <col min="6" max="6" width="7.77734375" bestFit="1" customWidth="1"/>
    <col min="7" max="7" width="10.77734375" bestFit="1" customWidth="1"/>
    <col min="8" max="8" width="8.6640625" customWidth="1"/>
    <col min="9" max="9" width="12.44140625" bestFit="1" customWidth="1"/>
    <col min="10" max="10" width="6.21875" bestFit="1" customWidth="1"/>
    <col min="11" max="11" width="8.6640625" customWidth="1"/>
    <col min="12" max="12" width="7.77734375" bestFit="1" customWidth="1"/>
    <col min="13" max="13" width="14.88671875" bestFit="1" customWidth="1"/>
    <col min="14" max="14" width="8.6640625" customWidth="1"/>
    <col min="15" max="15" width="6.5546875" bestFit="1" customWidth="1"/>
    <col min="16" max="26" width="8.6640625" customWidth="1"/>
  </cols>
  <sheetData>
    <row r="1" spans="1:26" x14ac:dyDescent="0.3">
      <c r="A1" s="1" t="s">
        <v>0</v>
      </c>
      <c r="B1" s="1" t="s">
        <v>1</v>
      </c>
      <c r="C1" s="2"/>
      <c r="D1" s="2"/>
      <c r="E1" s="2"/>
      <c r="F1" s="8" t="s">
        <v>105</v>
      </c>
      <c r="G1" s="8" t="s">
        <v>106</v>
      </c>
      <c r="H1" s="2"/>
      <c r="I1" s="8" t="s">
        <v>107</v>
      </c>
      <c r="J1" s="8" t="s">
        <v>108</v>
      </c>
      <c r="K1" s="2"/>
      <c r="L1" s="8" t="s">
        <v>105</v>
      </c>
      <c r="M1" s="8" t="s">
        <v>109</v>
      </c>
      <c r="N1" s="2"/>
      <c r="O1" s="8" t="s">
        <v>110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3" t="s">
        <v>2</v>
      </c>
      <c r="B2" s="4" t="s">
        <v>11</v>
      </c>
      <c r="C2" s="2"/>
      <c r="D2" s="2"/>
      <c r="E2" s="2"/>
      <c r="F2" s="9">
        <v>1</v>
      </c>
      <c r="G2" s="9" t="s">
        <v>28</v>
      </c>
      <c r="H2" s="2"/>
      <c r="I2" s="9">
        <v>1</v>
      </c>
      <c r="J2" s="9">
        <v>98</v>
      </c>
      <c r="K2" s="2"/>
      <c r="L2" s="9">
        <v>1</v>
      </c>
      <c r="M2" s="9" t="s">
        <v>51</v>
      </c>
      <c r="N2" s="2"/>
      <c r="O2" s="9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3" t="s">
        <v>4</v>
      </c>
      <c r="B3" s="4" t="s">
        <v>12</v>
      </c>
      <c r="C3" s="2"/>
      <c r="D3" s="2"/>
      <c r="E3" s="2"/>
      <c r="F3" s="9">
        <v>2</v>
      </c>
      <c r="G3" s="9" t="s">
        <v>29</v>
      </c>
      <c r="H3" s="2"/>
      <c r="I3" s="9">
        <v>2</v>
      </c>
      <c r="J3" s="9">
        <v>95</v>
      </c>
      <c r="K3" s="2"/>
      <c r="L3" s="9">
        <v>2</v>
      </c>
      <c r="M3" s="9" t="s">
        <v>54</v>
      </c>
      <c r="N3" s="2"/>
      <c r="O3" s="9">
        <v>20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 t="s">
        <v>6</v>
      </c>
      <c r="B4" s="4" t="s">
        <v>13</v>
      </c>
      <c r="C4" s="2"/>
      <c r="D4" s="2"/>
      <c r="E4" s="2"/>
      <c r="F4" s="9">
        <v>3</v>
      </c>
      <c r="G4" s="9" t="s">
        <v>30</v>
      </c>
      <c r="H4" s="2"/>
      <c r="I4" s="9">
        <v>3</v>
      </c>
      <c r="J4" s="9">
        <v>92</v>
      </c>
      <c r="K4" s="2"/>
      <c r="L4" s="9">
        <v>3</v>
      </c>
      <c r="M4" s="9" t="s">
        <v>57</v>
      </c>
      <c r="N4" s="2"/>
      <c r="O4" s="9">
        <v>30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3" t="s">
        <v>8</v>
      </c>
      <c r="B5" s="4" t="s">
        <v>14</v>
      </c>
      <c r="C5" s="2"/>
      <c r="D5" s="2"/>
      <c r="E5" s="2"/>
      <c r="F5" s="9">
        <v>4</v>
      </c>
      <c r="G5" s="9" t="s">
        <v>31</v>
      </c>
      <c r="H5" s="2"/>
      <c r="I5" s="9">
        <v>4</v>
      </c>
      <c r="J5" s="9">
        <v>90</v>
      </c>
      <c r="K5" s="2"/>
      <c r="L5" s="9">
        <v>4</v>
      </c>
      <c r="M5" s="9" t="s">
        <v>60</v>
      </c>
      <c r="N5" s="2"/>
      <c r="O5" s="9">
        <v>40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3">
        <v>5</v>
      </c>
      <c r="B6" s="4" t="s">
        <v>15</v>
      </c>
      <c r="C6" s="2"/>
      <c r="D6" s="2"/>
      <c r="E6" s="2"/>
      <c r="F6" s="9">
        <v>5</v>
      </c>
      <c r="G6" s="9" t="s">
        <v>32</v>
      </c>
      <c r="H6" s="2"/>
      <c r="I6" s="9">
        <v>5</v>
      </c>
      <c r="J6" s="9">
        <v>88</v>
      </c>
      <c r="K6" s="2"/>
      <c r="L6" s="9">
        <v>5</v>
      </c>
      <c r="M6" s="9" t="s">
        <v>63</v>
      </c>
      <c r="N6" s="2"/>
      <c r="O6" s="9">
        <v>50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5"/>
      <c r="C7" s="2"/>
      <c r="D7" s="2"/>
      <c r="E7" s="2"/>
      <c r="F7" s="9">
        <v>6</v>
      </c>
      <c r="G7" s="9" t="s">
        <v>33</v>
      </c>
      <c r="H7" s="2"/>
      <c r="I7" s="9">
        <v>6</v>
      </c>
      <c r="J7" s="9">
        <v>85</v>
      </c>
      <c r="K7" s="2"/>
      <c r="L7" s="9">
        <v>6</v>
      </c>
      <c r="M7" s="9" t="s">
        <v>65</v>
      </c>
      <c r="N7" s="2"/>
      <c r="O7" s="9">
        <v>60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5"/>
      <c r="C8" s="2"/>
      <c r="D8" s="2"/>
      <c r="E8" s="2"/>
      <c r="F8" s="9">
        <v>7</v>
      </c>
      <c r="G8" s="9" t="s">
        <v>34</v>
      </c>
      <c r="H8" s="2"/>
      <c r="I8" s="9">
        <v>7</v>
      </c>
      <c r="J8" s="9">
        <v>82</v>
      </c>
      <c r="K8" s="2"/>
      <c r="L8" s="9">
        <v>7</v>
      </c>
      <c r="M8" s="9" t="s">
        <v>68</v>
      </c>
      <c r="N8" s="2"/>
      <c r="O8" s="9">
        <v>70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6" t="s">
        <v>11</v>
      </c>
      <c r="C9" s="7" t="s">
        <v>102</v>
      </c>
      <c r="D9" s="7" t="s">
        <v>111</v>
      </c>
      <c r="E9" s="2"/>
      <c r="F9" s="9">
        <v>8</v>
      </c>
      <c r="G9" s="9" t="s">
        <v>35</v>
      </c>
      <c r="H9" s="2"/>
      <c r="I9" s="9">
        <v>8</v>
      </c>
      <c r="J9" s="9">
        <v>80</v>
      </c>
      <c r="K9" s="2"/>
      <c r="L9" s="9">
        <v>8</v>
      </c>
      <c r="M9" s="9" t="s">
        <v>70</v>
      </c>
      <c r="N9" s="2"/>
      <c r="O9" s="9">
        <v>80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6"/>
      <c r="C10" s="7" t="s">
        <v>29</v>
      </c>
      <c r="D10" s="7">
        <f>_xlfn.XMATCH(C10,G2:G21)</f>
        <v>2</v>
      </c>
      <c r="E10" s="2"/>
      <c r="F10" s="9">
        <v>9</v>
      </c>
      <c r="G10" s="9" t="s">
        <v>36</v>
      </c>
      <c r="H10" s="2"/>
      <c r="I10" s="9">
        <v>9</v>
      </c>
      <c r="J10" s="9">
        <v>78</v>
      </c>
      <c r="K10" s="2"/>
      <c r="L10" s="9">
        <v>9</v>
      </c>
      <c r="M10" s="9" t="s">
        <v>72</v>
      </c>
      <c r="N10" s="2"/>
      <c r="O10" s="9">
        <v>90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5"/>
      <c r="C11" s="2"/>
      <c r="D11" s="2"/>
      <c r="E11" s="2"/>
      <c r="F11" s="9">
        <v>10</v>
      </c>
      <c r="G11" s="9" t="s">
        <v>37</v>
      </c>
      <c r="H11" s="2"/>
      <c r="I11" s="9">
        <v>10</v>
      </c>
      <c r="J11" s="9">
        <v>75</v>
      </c>
      <c r="K11" s="2"/>
      <c r="L11" s="9">
        <v>10</v>
      </c>
      <c r="M11" s="9" t="s">
        <v>74</v>
      </c>
      <c r="N11" s="2"/>
      <c r="O11" s="9">
        <v>100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6" t="s">
        <v>12</v>
      </c>
      <c r="C12" s="7" t="s">
        <v>112</v>
      </c>
      <c r="D12" s="7" t="s">
        <v>113</v>
      </c>
      <c r="E12" s="2"/>
      <c r="F12" s="9">
        <v>11</v>
      </c>
      <c r="G12" s="9" t="s">
        <v>38</v>
      </c>
      <c r="H12" s="2"/>
      <c r="I12" s="9">
        <v>11</v>
      </c>
      <c r="J12" s="9">
        <v>72</v>
      </c>
      <c r="K12" s="2"/>
      <c r="L12" s="9">
        <v>11</v>
      </c>
      <c r="M12" s="9" t="s">
        <v>76</v>
      </c>
      <c r="N12" s="2"/>
      <c r="O12" s="9">
        <v>110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7"/>
      <c r="C13" s="7">
        <v>97</v>
      </c>
      <c r="D13" s="7">
        <f>_xlfn.XMATCH(C13,J2:J21,-1)</f>
        <v>2</v>
      </c>
      <c r="E13" s="2"/>
      <c r="F13" s="9">
        <v>12</v>
      </c>
      <c r="G13" s="9" t="s">
        <v>39</v>
      </c>
      <c r="H13" s="2"/>
      <c r="I13" s="9">
        <v>12</v>
      </c>
      <c r="J13" s="9">
        <v>70</v>
      </c>
      <c r="K13" s="2"/>
      <c r="L13" s="9">
        <v>12</v>
      </c>
      <c r="M13" s="9" t="s">
        <v>78</v>
      </c>
      <c r="N13" s="2"/>
      <c r="O13" s="9">
        <v>120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5"/>
      <c r="D14" s="2"/>
      <c r="E14" s="2"/>
      <c r="F14" s="9">
        <v>13</v>
      </c>
      <c r="G14" s="9" t="s">
        <v>40</v>
      </c>
      <c r="H14" s="2"/>
      <c r="I14" s="9">
        <v>13</v>
      </c>
      <c r="J14" s="9">
        <v>68</v>
      </c>
      <c r="K14" s="2"/>
      <c r="L14" s="9">
        <v>13</v>
      </c>
      <c r="M14" s="9" t="s">
        <v>80</v>
      </c>
      <c r="N14" s="2"/>
      <c r="O14" s="9">
        <v>130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6" t="s">
        <v>13</v>
      </c>
      <c r="C15" s="7" t="s">
        <v>114</v>
      </c>
      <c r="D15" s="7" t="s">
        <v>115</v>
      </c>
      <c r="E15" s="2"/>
      <c r="F15" s="9">
        <v>14</v>
      </c>
      <c r="G15" s="9" t="s">
        <v>41</v>
      </c>
      <c r="H15" s="2"/>
      <c r="I15" s="9">
        <v>14</v>
      </c>
      <c r="J15" s="9">
        <v>65</v>
      </c>
      <c r="K15" s="2"/>
      <c r="L15" s="9">
        <v>14</v>
      </c>
      <c r="M15" s="9" t="s">
        <v>82</v>
      </c>
      <c r="N15" s="2"/>
      <c r="O15" s="9">
        <v>140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6"/>
      <c r="C16" s="7" t="s">
        <v>51</v>
      </c>
      <c r="D16" s="7">
        <f>_xlfn.XMATCH(C16,M2:M21)</f>
        <v>1</v>
      </c>
      <c r="E16" s="2"/>
      <c r="F16" s="9">
        <v>15</v>
      </c>
      <c r="G16" s="9" t="s">
        <v>42</v>
      </c>
      <c r="H16" s="2"/>
      <c r="I16" s="9">
        <v>15</v>
      </c>
      <c r="J16" s="9">
        <v>62</v>
      </c>
      <c r="K16" s="2"/>
      <c r="L16" s="9">
        <v>15</v>
      </c>
      <c r="M16" s="9" t="s">
        <v>84</v>
      </c>
      <c r="N16" s="2"/>
      <c r="O16" s="9">
        <v>150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5"/>
      <c r="C17" s="2"/>
      <c r="D17" s="2"/>
      <c r="E17" s="2"/>
      <c r="F17" s="9">
        <v>16</v>
      </c>
      <c r="G17" s="9" t="s">
        <v>43</v>
      </c>
      <c r="H17" s="2"/>
      <c r="I17" s="9">
        <v>16</v>
      </c>
      <c r="J17" s="9">
        <v>60</v>
      </c>
      <c r="K17" s="2"/>
      <c r="L17" s="9">
        <v>16</v>
      </c>
      <c r="M17" s="9" t="s">
        <v>86</v>
      </c>
      <c r="N17" s="2"/>
      <c r="O17" s="9">
        <v>160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6" t="s">
        <v>14</v>
      </c>
      <c r="C18" s="7" t="s">
        <v>116</v>
      </c>
      <c r="D18" s="7" t="s">
        <v>117</v>
      </c>
      <c r="E18" s="2"/>
      <c r="F18" s="9">
        <v>17</v>
      </c>
      <c r="G18" s="9" t="s">
        <v>44</v>
      </c>
      <c r="H18" s="2"/>
      <c r="I18" s="9">
        <v>17</v>
      </c>
      <c r="J18" s="9">
        <v>58</v>
      </c>
      <c r="K18" s="2"/>
      <c r="L18" s="9">
        <v>17</v>
      </c>
      <c r="M18" s="9" t="s">
        <v>88</v>
      </c>
      <c r="N18" s="2"/>
      <c r="O18" s="9">
        <v>170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6"/>
      <c r="C19" s="7">
        <v>35</v>
      </c>
      <c r="D19" s="7">
        <f>_xlfn.XMATCH(C19,O2:O21,1)</f>
        <v>4</v>
      </c>
      <c r="E19" s="2"/>
      <c r="F19" s="9">
        <v>18</v>
      </c>
      <c r="G19" s="9" t="s">
        <v>45</v>
      </c>
      <c r="H19" s="2"/>
      <c r="I19" s="9">
        <v>18</v>
      </c>
      <c r="J19" s="9">
        <v>55</v>
      </c>
      <c r="K19" s="2"/>
      <c r="L19" s="9">
        <v>18</v>
      </c>
      <c r="M19" s="9" t="s">
        <v>90</v>
      </c>
      <c r="N19" s="2"/>
      <c r="O19" s="9">
        <v>180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5"/>
      <c r="C20" s="2"/>
      <c r="D20" s="2"/>
      <c r="E20" s="2"/>
      <c r="F20" s="9">
        <v>19</v>
      </c>
      <c r="G20" s="9" t="s">
        <v>46</v>
      </c>
      <c r="H20" s="2"/>
      <c r="I20" s="9">
        <v>19</v>
      </c>
      <c r="J20" s="9">
        <v>52</v>
      </c>
      <c r="K20" s="2"/>
      <c r="L20" s="9">
        <v>19</v>
      </c>
      <c r="M20" s="9" t="s">
        <v>92</v>
      </c>
      <c r="N20" s="2"/>
      <c r="O20" s="9">
        <v>190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6" t="s">
        <v>15</v>
      </c>
      <c r="C21" s="7" t="s">
        <v>99</v>
      </c>
      <c r="D21" s="7" t="s">
        <v>118</v>
      </c>
      <c r="E21" s="2"/>
      <c r="F21" s="9">
        <v>20</v>
      </c>
      <c r="G21" s="9" t="s">
        <v>47</v>
      </c>
      <c r="H21" s="2"/>
      <c r="I21" s="9">
        <v>20</v>
      </c>
      <c r="J21" s="9">
        <v>50</v>
      </c>
      <c r="K21" s="2"/>
      <c r="L21" s="9">
        <v>20</v>
      </c>
      <c r="M21" s="9" t="s">
        <v>94</v>
      </c>
      <c r="N21" s="2"/>
      <c r="O21" s="9">
        <v>200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6"/>
      <c r="C22" s="7" t="s">
        <v>28</v>
      </c>
      <c r="D22" s="7">
        <f>_xlfn.XMATCH(C22,G2:G21,0)</f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J1" sqref="J1:L21"/>
    </sheetView>
  </sheetViews>
  <sheetFormatPr defaultColWidth="14.44140625" defaultRowHeight="15" customHeight="1" x14ac:dyDescent="0.3"/>
  <cols>
    <col min="1" max="1" width="8.6640625" customWidth="1"/>
    <col min="2" max="2" width="68.5546875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8" t="s">
        <v>100</v>
      </c>
      <c r="G1" s="8" t="s">
        <v>48</v>
      </c>
      <c r="H1" s="8" t="s">
        <v>108</v>
      </c>
      <c r="I1" s="2"/>
      <c r="J1" s="8" t="s">
        <v>122</v>
      </c>
      <c r="K1" s="8" t="s">
        <v>123</v>
      </c>
      <c r="L1" s="8" t="s">
        <v>124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16</v>
      </c>
      <c r="C2" s="2"/>
      <c r="D2" s="2"/>
      <c r="E2" s="2"/>
      <c r="F2" s="9">
        <v>1</v>
      </c>
      <c r="G2" s="9" t="s">
        <v>51</v>
      </c>
      <c r="H2" s="9">
        <v>85</v>
      </c>
      <c r="I2" s="2"/>
      <c r="J2" s="9">
        <v>1000</v>
      </c>
      <c r="K2" s="9">
        <v>1200</v>
      </c>
      <c r="L2" s="9">
        <v>1500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17</v>
      </c>
      <c r="C3" s="2"/>
      <c r="D3" s="2"/>
      <c r="E3" s="2"/>
      <c r="F3" s="9">
        <v>2</v>
      </c>
      <c r="G3" s="9" t="s">
        <v>54</v>
      </c>
      <c r="H3" s="9">
        <v>78</v>
      </c>
      <c r="I3" s="2"/>
      <c r="J3" s="9">
        <v>1100</v>
      </c>
      <c r="K3" s="9">
        <v>1300</v>
      </c>
      <c r="L3" s="9">
        <v>1600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18</v>
      </c>
      <c r="C4" s="2"/>
      <c r="D4" s="2"/>
      <c r="E4" s="2"/>
      <c r="F4" s="9">
        <v>3</v>
      </c>
      <c r="G4" s="9" t="s">
        <v>57</v>
      </c>
      <c r="H4" s="9">
        <v>92</v>
      </c>
      <c r="I4" s="2"/>
      <c r="J4" s="9">
        <v>1200</v>
      </c>
      <c r="K4" s="9">
        <v>1400</v>
      </c>
      <c r="L4" s="9">
        <v>1700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19</v>
      </c>
      <c r="C5" s="2"/>
      <c r="D5" s="2"/>
      <c r="E5" s="2"/>
      <c r="F5" s="9">
        <v>4</v>
      </c>
      <c r="G5" s="9" t="s">
        <v>60</v>
      </c>
      <c r="H5" s="9">
        <v>67</v>
      </c>
      <c r="I5" s="2"/>
      <c r="J5" s="9">
        <v>1300</v>
      </c>
      <c r="K5" s="9">
        <v>1500</v>
      </c>
      <c r="L5" s="9">
        <v>1800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20</v>
      </c>
      <c r="C6" s="2"/>
      <c r="D6" s="2"/>
      <c r="E6" s="2"/>
      <c r="F6" s="9">
        <v>5</v>
      </c>
      <c r="G6" s="9" t="s">
        <v>63</v>
      </c>
      <c r="H6" s="9">
        <v>88</v>
      </c>
      <c r="I6" s="2"/>
      <c r="J6" s="9">
        <v>1400</v>
      </c>
      <c r="K6" s="9">
        <v>1600</v>
      </c>
      <c r="L6" s="9">
        <v>1900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9">
        <v>6</v>
      </c>
      <c r="G7" s="9" t="s">
        <v>65</v>
      </c>
      <c r="H7" s="9">
        <v>55</v>
      </c>
      <c r="I7" s="2"/>
      <c r="J7" s="9">
        <v>1500</v>
      </c>
      <c r="K7" s="9">
        <v>1700</v>
      </c>
      <c r="L7" s="9">
        <v>2000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9">
        <v>7</v>
      </c>
      <c r="G8" s="9" t="s">
        <v>68</v>
      </c>
      <c r="H8" s="9">
        <v>73</v>
      </c>
      <c r="I8" s="2"/>
      <c r="J8" s="9">
        <v>1600</v>
      </c>
      <c r="K8" s="9">
        <v>1800</v>
      </c>
      <c r="L8" s="9">
        <v>2100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6" t="s">
        <v>16</v>
      </c>
      <c r="C9" s="7" t="s">
        <v>120</v>
      </c>
      <c r="D9" s="7" t="s">
        <v>121</v>
      </c>
      <c r="E9" s="2"/>
      <c r="F9" s="9">
        <v>8</v>
      </c>
      <c r="G9" s="9" t="s">
        <v>70</v>
      </c>
      <c r="H9" s="9">
        <v>95</v>
      </c>
      <c r="I9" s="2"/>
      <c r="J9" s="9">
        <v>1700</v>
      </c>
      <c r="K9" s="9">
        <v>1900</v>
      </c>
      <c r="L9" s="9">
        <v>2200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6"/>
      <c r="C10" s="7" t="s">
        <v>125</v>
      </c>
      <c r="D10" s="7" cm="1">
        <f t="array" aca="1" ref="D10" ca="1">INDIRECT(C10)</f>
        <v>1</v>
      </c>
      <c r="E10" s="2"/>
      <c r="F10" s="9">
        <v>9</v>
      </c>
      <c r="G10" s="9" t="s">
        <v>72</v>
      </c>
      <c r="H10" s="9">
        <v>60</v>
      </c>
      <c r="I10" s="2"/>
      <c r="J10" s="9">
        <v>1800</v>
      </c>
      <c r="K10" s="9">
        <v>2000</v>
      </c>
      <c r="L10" s="9">
        <v>2300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9">
        <v>10</v>
      </c>
      <c r="G11" s="9" t="s">
        <v>74</v>
      </c>
      <c r="H11" s="9">
        <v>82</v>
      </c>
      <c r="I11" s="2"/>
      <c r="J11" s="9">
        <v>1900</v>
      </c>
      <c r="K11" s="9">
        <v>2100</v>
      </c>
      <c r="L11" s="9">
        <v>2400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6" t="s">
        <v>17</v>
      </c>
      <c r="C12" s="7" t="str" cm="1">
        <f t="array" aca="1" ref="C12" ca="1">INDIRECT(D12 &amp; "!A1")</f>
        <v>AHMED</v>
      </c>
      <c r="D12" s="7" t="s">
        <v>114</v>
      </c>
      <c r="E12" s="2"/>
      <c r="F12" s="9">
        <v>11</v>
      </c>
      <c r="G12" s="9" t="s">
        <v>76</v>
      </c>
      <c r="H12" s="9">
        <v>49</v>
      </c>
      <c r="I12" s="2"/>
      <c r="J12" s="9">
        <v>2000</v>
      </c>
      <c r="K12" s="9">
        <v>2200</v>
      </c>
      <c r="L12" s="9">
        <v>2500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9">
        <v>12</v>
      </c>
      <c r="G13" s="9" t="s">
        <v>78</v>
      </c>
      <c r="H13" s="9">
        <v>77</v>
      </c>
      <c r="I13" s="2"/>
      <c r="J13" s="9">
        <v>2100</v>
      </c>
      <c r="K13" s="9">
        <v>2300</v>
      </c>
      <c r="L13" s="9">
        <v>2600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6" t="s">
        <v>18</v>
      </c>
      <c r="C14" s="7">
        <f ca="1">SUM(INDIRECT("Marks"))</f>
        <v>1516</v>
      </c>
      <c r="D14" s="2"/>
      <c r="E14" s="2"/>
      <c r="F14" s="9">
        <v>13</v>
      </c>
      <c r="G14" s="9" t="s">
        <v>80</v>
      </c>
      <c r="H14" s="9">
        <v>91</v>
      </c>
      <c r="I14" s="2"/>
      <c r="J14" s="9">
        <v>2200</v>
      </c>
      <c r="K14" s="9">
        <v>2400</v>
      </c>
      <c r="L14" s="9">
        <v>2700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9">
        <v>14</v>
      </c>
      <c r="G15" s="9" t="s">
        <v>82</v>
      </c>
      <c r="H15" s="9">
        <v>68</v>
      </c>
      <c r="I15" s="2"/>
      <c r="J15" s="9">
        <v>2300</v>
      </c>
      <c r="K15" s="9">
        <v>2500</v>
      </c>
      <c r="L15" s="9">
        <v>2800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6" t="s">
        <v>19</v>
      </c>
      <c r="C16" s="7" t="str" cm="1">
        <f t="array" aca="1" ref="C16" ca="1">INDIRECT("G" &amp; ROW(F3))</f>
        <v>Rahul</v>
      </c>
      <c r="D16" s="2"/>
      <c r="E16" s="2"/>
      <c r="F16" s="9">
        <v>15</v>
      </c>
      <c r="G16" s="9" t="s">
        <v>84</v>
      </c>
      <c r="H16" s="9">
        <v>85</v>
      </c>
      <c r="I16" s="2"/>
      <c r="J16" s="9">
        <v>2400</v>
      </c>
      <c r="K16" s="9">
        <v>2600</v>
      </c>
      <c r="L16" s="9">
        <v>2900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9">
        <v>16</v>
      </c>
      <c r="G17" s="9" t="s">
        <v>86</v>
      </c>
      <c r="H17" s="9">
        <v>58</v>
      </c>
      <c r="I17" s="2"/>
      <c r="J17" s="9">
        <v>2500</v>
      </c>
      <c r="K17" s="9">
        <v>2700</v>
      </c>
      <c r="L17" s="9">
        <v>3000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6" t="s">
        <v>20</v>
      </c>
      <c r="C18" s="11" t="s">
        <v>120</v>
      </c>
      <c r="D18" s="11" t="s">
        <v>121</v>
      </c>
      <c r="E18" s="2"/>
      <c r="F18" s="9">
        <v>17</v>
      </c>
      <c r="G18" s="9" t="s">
        <v>88</v>
      </c>
      <c r="H18" s="9">
        <v>72</v>
      </c>
      <c r="I18" s="2"/>
      <c r="J18" s="9">
        <v>2600</v>
      </c>
      <c r="K18" s="9">
        <v>2800</v>
      </c>
      <c r="L18" s="9">
        <v>3100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12" t="s">
        <v>128</v>
      </c>
      <c r="C19" s="11" t="s">
        <v>127</v>
      </c>
      <c r="D19" s="7" t="str" cm="1">
        <f t="array" aca="1" ref="D19" ca="1">INDIRECT(C19 &amp; C20)</f>
        <v>Ahmed</v>
      </c>
      <c r="E19" s="2"/>
      <c r="F19" s="9">
        <v>18</v>
      </c>
      <c r="G19" s="9" t="s">
        <v>90</v>
      </c>
      <c r="H19" s="9">
        <v>97</v>
      </c>
      <c r="I19" s="2"/>
      <c r="J19" s="9">
        <v>2700</v>
      </c>
      <c r="K19" s="9">
        <v>2900</v>
      </c>
      <c r="L19" s="9">
        <v>3200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12" t="s">
        <v>129</v>
      </c>
      <c r="C20" s="7">
        <v>2</v>
      </c>
      <c r="D20" s="7"/>
      <c r="E20" s="2"/>
      <c r="F20" s="9">
        <v>19</v>
      </c>
      <c r="G20" s="9" t="s">
        <v>92</v>
      </c>
      <c r="H20" s="9">
        <v>64</v>
      </c>
      <c r="I20" s="2"/>
      <c r="J20" s="9">
        <v>2800</v>
      </c>
      <c r="K20" s="9">
        <v>3000</v>
      </c>
      <c r="L20" s="9">
        <v>3300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9">
        <v>20</v>
      </c>
      <c r="G21" s="9" t="s">
        <v>94</v>
      </c>
      <c r="H21" s="9">
        <v>80</v>
      </c>
      <c r="I21" s="2"/>
      <c r="J21" s="9">
        <v>2900</v>
      </c>
      <c r="K21" s="9">
        <v>3100</v>
      </c>
      <c r="L21" s="9">
        <v>3400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7A02-3F0E-43DF-8862-D2CD7673F579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1" workbookViewId="0">
      <selection activeCell="E7" sqref="E7"/>
    </sheetView>
  </sheetViews>
  <sheetFormatPr defaultColWidth="14.44140625" defaultRowHeight="15" customHeight="1" x14ac:dyDescent="0.3"/>
  <cols>
    <col min="1" max="1" width="8.6640625" customWidth="1"/>
    <col min="2" max="2" width="68.5546875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F1" s="8" t="s">
        <v>119</v>
      </c>
      <c r="G1" s="8" t="s">
        <v>67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21</v>
      </c>
      <c r="C2" s="2"/>
      <c r="D2" s="2"/>
      <c r="F2" s="9">
        <v>1</v>
      </c>
      <c r="G2" s="9">
        <v>1000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22</v>
      </c>
      <c r="C3" s="2"/>
      <c r="D3" s="2"/>
      <c r="F3" s="9">
        <v>2</v>
      </c>
      <c r="G3" s="9">
        <v>1200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23</v>
      </c>
      <c r="C4" s="2"/>
      <c r="D4" s="2"/>
      <c r="F4" s="9">
        <v>3</v>
      </c>
      <c r="G4" s="9">
        <v>900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24</v>
      </c>
      <c r="C5" s="2"/>
      <c r="D5" s="2"/>
      <c r="F5" s="9">
        <v>4</v>
      </c>
      <c r="G5" s="9">
        <v>1500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25</v>
      </c>
      <c r="C6" s="2"/>
      <c r="D6" s="2"/>
      <c r="F6" s="9">
        <v>5</v>
      </c>
      <c r="G6" s="9">
        <v>1800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F7" s="9">
        <v>6</v>
      </c>
      <c r="G7" s="9">
        <v>2000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F8" s="9">
        <v>7</v>
      </c>
      <c r="G8" s="9">
        <v>1700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F9" s="9">
        <v>8</v>
      </c>
      <c r="G9" s="9">
        <v>2200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6" t="s">
        <v>21</v>
      </c>
      <c r="C10" s="7" t="s">
        <v>120</v>
      </c>
      <c r="D10" s="10" t="s">
        <v>121</v>
      </c>
      <c r="F10" s="9">
        <v>9</v>
      </c>
      <c r="G10" s="9">
        <v>2100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6"/>
      <c r="C11" s="7">
        <v>4</v>
      </c>
      <c r="D11" s="10" cm="1">
        <f t="array" aca="1" ref="D11:D14" ca="1">OFFSET(F2,0,0,C11)</f>
        <v>1</v>
      </c>
      <c r="F11" s="9">
        <v>10</v>
      </c>
      <c r="G11" s="9">
        <v>2500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6"/>
      <c r="C12" s="7"/>
      <c r="D12" s="10">
        <f ca="1"/>
        <v>2</v>
      </c>
      <c r="F12" s="9">
        <v>11</v>
      </c>
      <c r="G12" s="9">
        <v>2300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6"/>
      <c r="C13" s="7"/>
      <c r="D13" s="10">
        <f ca="1"/>
        <v>3</v>
      </c>
      <c r="F13" s="9">
        <v>12</v>
      </c>
      <c r="G13" s="9">
        <v>2600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6"/>
      <c r="C14" s="7"/>
      <c r="D14" s="10">
        <f ca="1"/>
        <v>4</v>
      </c>
      <c r="F14" s="9">
        <v>13</v>
      </c>
      <c r="G14" s="9">
        <v>2400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F15" s="9">
        <v>14</v>
      </c>
      <c r="G15" s="9">
        <v>2800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6" t="s">
        <v>22</v>
      </c>
      <c r="C16" s="7" cm="1">
        <f t="array" aca="1" ref="C16:D18" ca="1">OFFSET(D16,-14,2,3,2)</f>
        <v>1</v>
      </c>
      <c r="D16" s="7">
        <f ca="1"/>
        <v>1000</v>
      </c>
      <c r="F16" s="9">
        <v>15</v>
      </c>
      <c r="G16" s="9">
        <v>3000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6"/>
      <c r="C17" s="7">
        <f ca="1"/>
        <v>2</v>
      </c>
      <c r="D17" s="7">
        <f ca="1"/>
        <v>1200</v>
      </c>
      <c r="F17" s="9">
        <v>16</v>
      </c>
      <c r="G17" s="9">
        <v>3200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6"/>
      <c r="C18" s="7">
        <f ca="1"/>
        <v>3</v>
      </c>
      <c r="D18" s="7">
        <f ca="1"/>
        <v>900</v>
      </c>
      <c r="F18" s="9">
        <v>17</v>
      </c>
      <c r="G18" s="9">
        <v>3100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F19" s="9">
        <v>18</v>
      </c>
      <c r="G19" s="9">
        <v>3500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6" t="s">
        <v>23</v>
      </c>
      <c r="C20" s="7">
        <f ca="1">SUM(OFFSET(G2,1,0,COUNTA(G:G)))</f>
        <v>46500</v>
      </c>
      <c r="D20" s="2"/>
      <c r="F20" s="9">
        <v>19</v>
      </c>
      <c r="G20" s="9">
        <v>3700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F21" s="9">
        <v>20</v>
      </c>
      <c r="G21" s="9">
        <v>4000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6" t="s">
        <v>24</v>
      </c>
      <c r="C22" s="7">
        <f ca="1">SUM(OFFSET(G2,1,0,4))</f>
        <v>5400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6" t="s">
        <v>25</v>
      </c>
      <c r="C24" s="7" cm="1">
        <f t="array" aca="1" ref="C24:C28" ca="1">OFFSET(G2,COUNT(G2:G21)-5,0,5)</f>
        <v>3200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6"/>
      <c r="C25" s="7">
        <f ca="1"/>
        <v>3100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6"/>
      <c r="C26" s="7">
        <f ca="1"/>
        <v>3500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6"/>
      <c r="C27" s="7">
        <f ca="1"/>
        <v>3700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6"/>
      <c r="C28" s="7">
        <f ca="1"/>
        <v>4000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XLOOKUP Function</vt:lpstr>
      <vt:lpstr>XMATCH Function</vt:lpstr>
      <vt:lpstr>INDIRECT Function</vt:lpstr>
      <vt:lpstr>NAME</vt:lpstr>
      <vt:lpstr>OFFSET Function</vt:lpstr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2026-04-17T06:05:02Z</dcterms:modified>
</cp:coreProperties>
</file>