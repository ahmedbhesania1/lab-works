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112" documentId="8_{E8B0098C-2C9E-44C0-870B-D447CBCE06C5}" xr6:coauthVersionLast="47" xr6:coauthVersionMax="47" xr10:uidLastSave="{7B51864B-A762-4203-8FC4-00A12ABEC852}"/>
  <bookViews>
    <workbookView xWindow="-108" yWindow="-108" windowWidth="23256" windowHeight="12456" activeTab="1" xr2:uid="{168C3871-7B74-409A-A186-47A413A53216}"/>
  </bookViews>
  <sheets>
    <sheet name="conditional forma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N9" i="2"/>
  <c r="N11" i="2" s="1"/>
  <c r="J3" i="2"/>
  <c r="J9" i="2"/>
  <c r="J10" i="2"/>
  <c r="J11" i="2"/>
  <c r="J17" i="2"/>
  <c r="J18" i="2"/>
  <c r="J19" i="2"/>
  <c r="J25" i="2"/>
  <c r="J26" i="2"/>
  <c r="J2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H3" i="2"/>
  <c r="H4" i="2"/>
  <c r="J4" i="2" s="1"/>
  <c r="H5" i="2"/>
  <c r="J5" i="2" s="1"/>
  <c r="H6" i="2"/>
  <c r="J6" i="2" s="1"/>
  <c r="H7" i="2"/>
  <c r="J7" i="2" s="1"/>
  <c r="H8" i="2"/>
  <c r="J8" i="2" s="1"/>
  <c r="H9" i="2"/>
  <c r="H10" i="2"/>
  <c r="H11" i="2"/>
  <c r="H12" i="2"/>
  <c r="J12" i="2" s="1"/>
  <c r="H13" i="2"/>
  <c r="J13" i="2" s="1"/>
  <c r="H14" i="2"/>
  <c r="J14" i="2" s="1"/>
  <c r="H15" i="2"/>
  <c r="J15" i="2" s="1"/>
  <c r="H16" i="2"/>
  <c r="J16" i="2" s="1"/>
  <c r="H17" i="2"/>
  <c r="H18" i="2"/>
  <c r="H19" i="2"/>
  <c r="H20" i="2"/>
  <c r="J20" i="2" s="1"/>
  <c r="H21" i="2"/>
  <c r="J21" i="2" s="1"/>
  <c r="H22" i="2"/>
  <c r="J22" i="2" s="1"/>
  <c r="H23" i="2"/>
  <c r="J23" i="2" s="1"/>
  <c r="H24" i="2"/>
  <c r="J24" i="2" s="1"/>
  <c r="H25" i="2"/>
  <c r="H26" i="2"/>
  <c r="H27" i="2"/>
  <c r="H28" i="2"/>
  <c r="J28" i="2" s="1"/>
  <c r="H29" i="2"/>
  <c r="J29" i="2" s="1"/>
  <c r="H30" i="2"/>
  <c r="J30" i="2" s="1"/>
  <c r="H31" i="2"/>
  <c r="J31" i="2" s="1"/>
  <c r="H2" i="2"/>
  <c r="J2" i="2" s="1"/>
</calcChain>
</file>

<file path=xl/sharedStrings.xml><?xml version="1.0" encoding="utf-8"?>
<sst xmlns="http://schemas.openxmlformats.org/spreadsheetml/2006/main" count="72" uniqueCount="38">
  <si>
    <t>Task</t>
  </si>
  <si>
    <t>Value A</t>
  </si>
  <si>
    <t>Value B</t>
  </si>
  <si>
    <t>Value C</t>
  </si>
  <si>
    <t>Value D (Sales)</t>
  </si>
  <si>
    <t>Value E</t>
  </si>
  <si>
    <t>A</t>
  </si>
  <si>
    <t>B</t>
  </si>
  <si>
    <t>C</t>
  </si>
  <si>
    <t>D</t>
  </si>
  <si>
    <t>E</t>
  </si>
  <si>
    <t>F</t>
  </si>
  <si>
    <t>G</t>
  </si>
  <si>
    <t>H</t>
  </si>
  <si>
    <t>Challenges</t>
  </si>
  <si>
    <t>Highlight all cells in column A that contain values greater than 100.</t>
  </si>
  <si>
    <t>Apply color scales to a range of values in column B.</t>
  </si>
  <si>
    <t>Use data bars to visualize numerical data in column C.</t>
  </si>
  <si>
    <t>Create an icon set to indicate trends in sales data in column D.</t>
  </si>
  <si>
    <t>Use a formula to highlight duplicate values in column E.</t>
  </si>
  <si>
    <t>Challengs</t>
  </si>
  <si>
    <t>Use Goal Seek to determine the required sales price to reach a target profit.</t>
  </si>
  <si>
    <t>Create a Data Table to analyze different interest rates on loan repayment.</t>
  </si>
  <si>
    <t>Set up a Scenario Manager with different business growth scenarios.</t>
  </si>
  <si>
    <t>Perform a sensitivity analysis using a two-variable Data Table.</t>
  </si>
  <si>
    <t>Use Solver to maximize profit based on given constraints.</t>
  </si>
  <si>
    <t>ID</t>
  </si>
  <si>
    <t>Units Sold</t>
  </si>
  <si>
    <t>Cost per Unit</t>
  </si>
  <si>
    <t>Selling Price</t>
  </si>
  <si>
    <t>Fixed Cost</t>
  </si>
  <si>
    <t>Interest Rate</t>
  </si>
  <si>
    <t>Loan Amount</t>
  </si>
  <si>
    <t>revenue</t>
  </si>
  <si>
    <t>Total cost</t>
  </si>
  <si>
    <t>profit</t>
  </si>
  <si>
    <t>TARGET PROFIT</t>
  </si>
  <si>
    <t>to reach profit of 8000 we should change selling price in goal seeker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</si>
</sst>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BED9-174A-43AC-93F4-D6C8A4862412}">
  <dimension ref="A1:I31"/>
  <sheetViews>
    <sheetView workbookViewId="0">
      <selection activeCell="G9" sqref="G9"/>
    </sheetView>
  </sheetViews>
  <sheetFormatPr defaultRowHeight="14.4" x14ac:dyDescent="0.3"/>
  <cols>
    <col min="8" max="8" width="4.77734375" bestFit="1" customWidth="1"/>
    <col min="9" max="9" width="60.6640625" customWidth="1"/>
  </cols>
  <sheetData>
    <row r="1" spans="1:9" ht="29.4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H1" s="3" t="s">
        <v>0</v>
      </c>
      <c r="I1" s="3" t="s">
        <v>20</v>
      </c>
    </row>
    <row r="2" spans="1:9" ht="15" thickBot="1" x14ac:dyDescent="0.35">
      <c r="A2" s="2">
        <v>1</v>
      </c>
      <c r="B2" s="2">
        <v>120</v>
      </c>
      <c r="C2" s="2">
        <v>45</v>
      </c>
      <c r="D2" s="2">
        <v>300</v>
      </c>
      <c r="E2" s="2">
        <v>5000</v>
      </c>
      <c r="F2" s="2" t="s">
        <v>6</v>
      </c>
      <c r="H2" s="5">
        <v>1</v>
      </c>
      <c r="I2" s="7" t="s">
        <v>15</v>
      </c>
    </row>
    <row r="3" spans="1:9" ht="15" thickBot="1" x14ac:dyDescent="0.35">
      <c r="A3" s="2">
        <v>2</v>
      </c>
      <c r="B3" s="2">
        <v>80</v>
      </c>
      <c r="C3" s="2">
        <v>60</v>
      </c>
      <c r="D3" s="2">
        <v>150</v>
      </c>
      <c r="E3" s="2">
        <v>7000</v>
      </c>
      <c r="F3" s="2" t="s">
        <v>7</v>
      </c>
      <c r="H3" s="5">
        <v>2</v>
      </c>
      <c r="I3" s="7" t="s">
        <v>16</v>
      </c>
    </row>
    <row r="4" spans="1:9" ht="15" thickBot="1" x14ac:dyDescent="0.35">
      <c r="A4" s="2">
        <v>3</v>
      </c>
      <c r="B4" s="2">
        <v>200</v>
      </c>
      <c r="C4" s="2">
        <v>75</v>
      </c>
      <c r="D4" s="2">
        <v>400</v>
      </c>
      <c r="E4" s="2">
        <v>6500</v>
      </c>
      <c r="F4" s="2" t="s">
        <v>8</v>
      </c>
      <c r="H4" s="5">
        <v>3</v>
      </c>
      <c r="I4" s="7" t="s">
        <v>17</v>
      </c>
    </row>
    <row r="5" spans="1:9" ht="15" thickBot="1" x14ac:dyDescent="0.35">
      <c r="A5" s="2">
        <v>4</v>
      </c>
      <c r="B5" s="2">
        <v>95</v>
      </c>
      <c r="C5" s="2">
        <v>20</v>
      </c>
      <c r="D5" s="2">
        <v>250</v>
      </c>
      <c r="E5" s="2">
        <v>8000</v>
      </c>
      <c r="F5" s="2" t="s">
        <v>6</v>
      </c>
      <c r="H5" s="5">
        <v>4</v>
      </c>
      <c r="I5" s="7" t="s">
        <v>18</v>
      </c>
    </row>
    <row r="6" spans="1:9" ht="15" thickBot="1" x14ac:dyDescent="0.35">
      <c r="A6" s="2">
        <v>5</v>
      </c>
      <c r="B6" s="2">
        <v>130</v>
      </c>
      <c r="C6" s="2">
        <v>90</v>
      </c>
      <c r="D6" s="2">
        <v>100</v>
      </c>
      <c r="E6" s="2">
        <v>7200</v>
      </c>
      <c r="F6" s="2" t="s">
        <v>9</v>
      </c>
      <c r="H6" s="5">
        <v>5</v>
      </c>
      <c r="I6" s="7" t="s">
        <v>19</v>
      </c>
    </row>
    <row r="7" spans="1:9" x14ac:dyDescent="0.3">
      <c r="A7" s="2">
        <v>6</v>
      </c>
      <c r="B7" s="2">
        <v>60</v>
      </c>
      <c r="C7" s="2">
        <v>35</v>
      </c>
      <c r="D7" s="2">
        <v>500</v>
      </c>
      <c r="E7" s="2">
        <v>9000</v>
      </c>
      <c r="F7" s="2" t="s">
        <v>7</v>
      </c>
    </row>
    <row r="8" spans="1:9" x14ac:dyDescent="0.3">
      <c r="A8" s="2">
        <v>7</v>
      </c>
      <c r="B8" s="2">
        <v>170</v>
      </c>
      <c r="C8" s="2">
        <v>55</v>
      </c>
      <c r="D8" s="2">
        <v>200</v>
      </c>
      <c r="E8" s="2">
        <v>8500</v>
      </c>
      <c r="F8" s="2" t="s">
        <v>8</v>
      </c>
    </row>
    <row r="9" spans="1:9" x14ac:dyDescent="0.3">
      <c r="A9" s="2">
        <v>8</v>
      </c>
      <c r="B9" s="2">
        <v>40</v>
      </c>
      <c r="C9" s="2">
        <v>10</v>
      </c>
      <c r="D9" s="2">
        <v>350</v>
      </c>
      <c r="E9" s="2">
        <v>4000</v>
      </c>
      <c r="F9" s="2" t="s">
        <v>8</v>
      </c>
    </row>
    <row r="10" spans="1:9" x14ac:dyDescent="0.3">
      <c r="A10" s="2">
        <v>9</v>
      </c>
      <c r="B10" s="2">
        <v>110</v>
      </c>
      <c r="C10" s="2">
        <v>80</v>
      </c>
      <c r="D10" s="2">
        <v>600</v>
      </c>
      <c r="E10" s="2">
        <v>9500</v>
      </c>
      <c r="F10" s="2" t="s">
        <v>6</v>
      </c>
    </row>
    <row r="11" spans="1:9" x14ac:dyDescent="0.3">
      <c r="A11" s="2">
        <v>10</v>
      </c>
      <c r="B11" s="2">
        <v>75</v>
      </c>
      <c r="C11" s="2">
        <v>25</v>
      </c>
      <c r="D11" s="2">
        <v>150</v>
      </c>
      <c r="E11" s="2">
        <v>3000</v>
      </c>
      <c r="F11" s="2" t="s">
        <v>11</v>
      </c>
    </row>
    <row r="12" spans="1:9" x14ac:dyDescent="0.3">
      <c r="A12" s="2">
        <v>11</v>
      </c>
      <c r="B12" s="2">
        <v>180</v>
      </c>
      <c r="C12" s="2">
        <v>95</v>
      </c>
      <c r="D12" s="2">
        <v>450</v>
      </c>
      <c r="E12" s="2">
        <v>10000</v>
      </c>
      <c r="F12" s="2" t="s">
        <v>12</v>
      </c>
    </row>
    <row r="13" spans="1:9" x14ac:dyDescent="0.3">
      <c r="A13" s="2">
        <v>12</v>
      </c>
      <c r="B13" s="2">
        <v>55</v>
      </c>
      <c r="C13" s="2">
        <v>15</v>
      </c>
      <c r="D13" s="2">
        <v>200</v>
      </c>
      <c r="E13" s="2">
        <v>2000</v>
      </c>
      <c r="F13" s="2" t="s">
        <v>13</v>
      </c>
    </row>
    <row r="14" spans="1:9" x14ac:dyDescent="0.3">
      <c r="A14" s="2">
        <v>13</v>
      </c>
      <c r="B14" s="2">
        <v>140</v>
      </c>
      <c r="C14" s="2">
        <v>65</v>
      </c>
      <c r="D14" s="2">
        <v>300</v>
      </c>
      <c r="E14" s="2">
        <v>7700</v>
      </c>
      <c r="F14" s="2" t="s">
        <v>6</v>
      </c>
    </row>
    <row r="15" spans="1:9" x14ac:dyDescent="0.3">
      <c r="A15" s="2">
        <v>14</v>
      </c>
      <c r="B15" s="2">
        <v>90</v>
      </c>
      <c r="C15" s="2">
        <v>50</v>
      </c>
      <c r="D15" s="2">
        <v>250</v>
      </c>
      <c r="E15" s="2">
        <v>6600</v>
      </c>
      <c r="F15" s="2" t="s">
        <v>10</v>
      </c>
    </row>
    <row r="16" spans="1:9" x14ac:dyDescent="0.3">
      <c r="A16" s="2">
        <v>15</v>
      </c>
      <c r="B16" s="2">
        <v>210</v>
      </c>
      <c r="C16" s="2">
        <v>85</v>
      </c>
      <c r="D16" s="2">
        <v>550</v>
      </c>
      <c r="E16" s="2">
        <v>8800</v>
      </c>
      <c r="F16" s="2" t="s">
        <v>6</v>
      </c>
    </row>
    <row r="17" spans="1:6" x14ac:dyDescent="0.3">
      <c r="A17" s="2">
        <v>16</v>
      </c>
      <c r="B17" s="2">
        <v>30</v>
      </c>
      <c r="C17" s="2">
        <v>5</v>
      </c>
      <c r="D17" s="2">
        <v>100</v>
      </c>
      <c r="E17" s="2">
        <v>1500</v>
      </c>
      <c r="F17" s="2" t="s">
        <v>6</v>
      </c>
    </row>
    <row r="18" spans="1:6" x14ac:dyDescent="0.3">
      <c r="A18" s="2">
        <v>17</v>
      </c>
      <c r="B18" s="2">
        <v>160</v>
      </c>
      <c r="C18" s="2">
        <v>40</v>
      </c>
      <c r="D18" s="2">
        <v>350</v>
      </c>
      <c r="E18" s="2">
        <v>9900</v>
      </c>
      <c r="F18" s="2" t="s">
        <v>6</v>
      </c>
    </row>
    <row r="19" spans="1:6" x14ac:dyDescent="0.3">
      <c r="A19" s="2">
        <v>18</v>
      </c>
      <c r="B19" s="2">
        <v>85</v>
      </c>
      <c r="C19" s="2">
        <v>70</v>
      </c>
      <c r="D19" s="2">
        <v>450</v>
      </c>
      <c r="E19" s="2">
        <v>6200</v>
      </c>
      <c r="F19" s="2" t="s">
        <v>6</v>
      </c>
    </row>
    <row r="20" spans="1:6" x14ac:dyDescent="0.3">
      <c r="A20" s="2">
        <v>19</v>
      </c>
      <c r="B20" s="2">
        <v>125</v>
      </c>
      <c r="C20" s="2">
        <v>60</v>
      </c>
      <c r="D20" s="2">
        <v>500</v>
      </c>
      <c r="E20" s="2">
        <v>7100</v>
      </c>
      <c r="F20" s="2" t="s">
        <v>7</v>
      </c>
    </row>
    <row r="21" spans="1:6" x14ac:dyDescent="0.3">
      <c r="A21" s="2">
        <v>20</v>
      </c>
      <c r="B21" s="2">
        <v>70</v>
      </c>
      <c r="C21" s="2">
        <v>20</v>
      </c>
      <c r="D21" s="2">
        <v>200</v>
      </c>
      <c r="E21" s="2">
        <v>3000</v>
      </c>
      <c r="F21" s="2" t="s">
        <v>8</v>
      </c>
    </row>
    <row r="22" spans="1:6" x14ac:dyDescent="0.3">
      <c r="A22" s="2">
        <v>21</v>
      </c>
      <c r="B22" s="2">
        <v>190</v>
      </c>
      <c r="C22" s="2">
        <v>90</v>
      </c>
      <c r="D22" s="2">
        <v>600</v>
      </c>
      <c r="E22" s="2">
        <v>10500</v>
      </c>
      <c r="F22" s="2" t="s">
        <v>7</v>
      </c>
    </row>
    <row r="23" spans="1:6" x14ac:dyDescent="0.3">
      <c r="A23" s="2">
        <v>22</v>
      </c>
      <c r="B23" s="2">
        <v>100</v>
      </c>
      <c r="C23" s="2">
        <v>45</v>
      </c>
      <c r="D23" s="2">
        <v>300</v>
      </c>
      <c r="E23" s="2">
        <v>5400</v>
      </c>
      <c r="F23" s="2" t="s">
        <v>10</v>
      </c>
    </row>
    <row r="24" spans="1:6" x14ac:dyDescent="0.3">
      <c r="A24" s="2">
        <v>23</v>
      </c>
      <c r="B24" s="2">
        <v>135</v>
      </c>
      <c r="C24" s="2">
        <v>75</v>
      </c>
      <c r="D24" s="2">
        <v>250</v>
      </c>
      <c r="E24" s="2">
        <v>8200</v>
      </c>
      <c r="F24" s="2" t="s">
        <v>7</v>
      </c>
    </row>
    <row r="25" spans="1:6" x14ac:dyDescent="0.3">
      <c r="A25" s="2">
        <v>24</v>
      </c>
      <c r="B25" s="2">
        <v>50</v>
      </c>
      <c r="C25" s="2">
        <v>30</v>
      </c>
      <c r="D25" s="2">
        <v>150</v>
      </c>
      <c r="E25" s="2">
        <v>2100</v>
      </c>
      <c r="F25" s="2" t="s">
        <v>7</v>
      </c>
    </row>
    <row r="26" spans="1:6" x14ac:dyDescent="0.3">
      <c r="A26" s="2">
        <v>25</v>
      </c>
      <c r="B26" s="2">
        <v>220</v>
      </c>
      <c r="C26" s="2">
        <v>85</v>
      </c>
      <c r="D26" s="2">
        <v>700</v>
      </c>
      <c r="E26" s="2">
        <v>11500</v>
      </c>
      <c r="F26" s="2" t="s">
        <v>7</v>
      </c>
    </row>
    <row r="27" spans="1:6" x14ac:dyDescent="0.3">
      <c r="A27" s="2">
        <v>26</v>
      </c>
      <c r="B27" s="2">
        <v>65</v>
      </c>
      <c r="C27" s="2">
        <v>25</v>
      </c>
      <c r="D27" s="2">
        <v>200</v>
      </c>
      <c r="E27" s="2">
        <v>3400</v>
      </c>
      <c r="F27" s="2" t="s">
        <v>6</v>
      </c>
    </row>
    <row r="28" spans="1:6" x14ac:dyDescent="0.3">
      <c r="A28" s="2">
        <v>27</v>
      </c>
      <c r="B28" s="2">
        <v>145</v>
      </c>
      <c r="C28" s="2">
        <v>55</v>
      </c>
      <c r="D28" s="2">
        <v>450</v>
      </c>
      <c r="E28" s="2">
        <v>7800</v>
      </c>
      <c r="F28" s="2" t="s">
        <v>7</v>
      </c>
    </row>
    <row r="29" spans="1:6" x14ac:dyDescent="0.3">
      <c r="A29" s="2">
        <v>28</v>
      </c>
      <c r="B29" s="2">
        <v>85</v>
      </c>
      <c r="C29" s="2">
        <v>15</v>
      </c>
      <c r="D29" s="2">
        <v>350</v>
      </c>
      <c r="E29" s="2">
        <v>4200</v>
      </c>
      <c r="F29" s="2" t="s">
        <v>8</v>
      </c>
    </row>
    <row r="30" spans="1:6" x14ac:dyDescent="0.3">
      <c r="A30" s="2">
        <v>29</v>
      </c>
      <c r="B30" s="2">
        <v>175</v>
      </c>
      <c r="C30" s="2">
        <v>95</v>
      </c>
      <c r="D30" s="2">
        <v>500</v>
      </c>
      <c r="E30" s="2">
        <v>9700</v>
      </c>
      <c r="F30" s="2" t="s">
        <v>8</v>
      </c>
    </row>
    <row r="31" spans="1:6" x14ac:dyDescent="0.3">
      <c r="A31" s="2">
        <v>30</v>
      </c>
      <c r="B31" s="2">
        <v>95</v>
      </c>
      <c r="C31" s="2">
        <v>35</v>
      </c>
      <c r="D31" s="2">
        <v>250</v>
      </c>
      <c r="E31" s="2">
        <v>6100</v>
      </c>
      <c r="F31" s="2" t="s">
        <v>10</v>
      </c>
    </row>
  </sheetData>
  <conditionalFormatting sqref="B2:B31">
    <cfRule type="cellIs" dxfId="2" priority="6" operator="greaterThan">
      <formula>100</formula>
    </cfRule>
  </conditionalFormatting>
  <conditionalFormatting sqref="C2:C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{AE565685-632B-4F4B-BB7D-61FE7FACB76A}</x14:id>
        </ext>
      </extLst>
    </cfRule>
  </conditionalFormatting>
  <conditionalFormatting sqref="F2:F3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565685-632B-4F4B-BB7D-61FE7FACB7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D2:D31</xm:sqref>
        </x14:conditionalFormatting>
        <x14:conditionalFormatting xmlns:xm="http://schemas.microsoft.com/office/excel/2006/main">
          <x14:cfRule type="iconSet" priority="3" id="{2CAC98F2-6148-4B46-A2AB-76492D2C6A2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E2:E31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BC55-E8BF-4E06-A54A-1A97A923FF78}">
  <dimension ref="A1:P116"/>
  <sheetViews>
    <sheetView tabSelected="1" workbookViewId="0">
      <selection activeCell="P1" sqref="P1"/>
    </sheetView>
  </sheetViews>
  <sheetFormatPr defaultRowHeight="14.4" x14ac:dyDescent="0.3"/>
  <cols>
    <col min="1" max="1" width="3" bestFit="1" customWidth="1"/>
    <col min="2" max="2" width="9.44140625" bestFit="1" customWidth="1"/>
    <col min="3" max="3" width="7.88671875" bestFit="1" customWidth="1"/>
    <col min="4" max="4" width="6.44140625" bestFit="1" customWidth="1"/>
    <col min="5" max="5" width="5.33203125" bestFit="1" customWidth="1"/>
    <col min="6" max="6" width="7.44140625" bestFit="1" customWidth="1"/>
    <col min="7" max="8" width="7.88671875" bestFit="1" customWidth="1"/>
    <col min="9" max="9" width="6" bestFit="1" customWidth="1"/>
    <col min="10" max="10" width="5.6640625" bestFit="1" customWidth="1"/>
    <col min="13" max="13" width="12.44140625" bestFit="1" customWidth="1"/>
    <col min="14" max="14" width="6" bestFit="1" customWidth="1"/>
    <col min="15" max="15" width="7.5546875" customWidth="1"/>
  </cols>
  <sheetData>
    <row r="1" spans="1:16" ht="28.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M1" s="1" t="s">
        <v>36</v>
      </c>
      <c r="N1">
        <v>8000</v>
      </c>
      <c r="P1" t="s">
        <v>37</v>
      </c>
    </row>
    <row r="2" spans="1:16" x14ac:dyDescent="0.3">
      <c r="A2" s="2">
        <v>1</v>
      </c>
      <c r="B2" s="2">
        <v>100</v>
      </c>
      <c r="C2" s="2">
        <v>50</v>
      </c>
      <c r="D2" s="2">
        <v>80</v>
      </c>
      <c r="E2" s="2">
        <v>2000</v>
      </c>
      <c r="F2" s="9">
        <v>0.05</v>
      </c>
      <c r="G2" s="2">
        <v>50000</v>
      </c>
      <c r="H2">
        <f>B2*D2</f>
        <v>8000</v>
      </c>
      <c r="I2">
        <f>(B2*C2)+E2</f>
        <v>7000</v>
      </c>
      <c r="J2">
        <f>H2-I2</f>
        <v>1000</v>
      </c>
      <c r="M2" s="1" t="s">
        <v>26</v>
      </c>
      <c r="N2" s="2">
        <v>1</v>
      </c>
      <c r="O2" s="11"/>
    </row>
    <row r="3" spans="1:16" x14ac:dyDescent="0.3">
      <c r="A3" s="2">
        <v>2</v>
      </c>
      <c r="B3" s="2">
        <v>120</v>
      </c>
      <c r="C3" s="2">
        <v>45</v>
      </c>
      <c r="D3" s="2">
        <v>75</v>
      </c>
      <c r="E3" s="2">
        <v>2200</v>
      </c>
      <c r="F3" s="9">
        <v>0.06</v>
      </c>
      <c r="G3" s="2">
        <v>60000</v>
      </c>
      <c r="H3">
        <f t="shared" ref="H3:H31" si="0">B3*D3</f>
        <v>9000</v>
      </c>
      <c r="I3">
        <f t="shared" ref="I3:I31" si="1">(B3*C3)+E3</f>
        <v>7600</v>
      </c>
      <c r="J3">
        <f t="shared" ref="J3:J31" si="2">H3-I3</f>
        <v>1400</v>
      </c>
      <c r="M3" s="1" t="s">
        <v>27</v>
      </c>
      <c r="N3" s="2">
        <v>100</v>
      </c>
    </row>
    <row r="4" spans="1:16" x14ac:dyDescent="0.3">
      <c r="A4" s="2">
        <v>3</v>
      </c>
      <c r="B4" s="2">
        <v>150</v>
      </c>
      <c r="C4" s="2">
        <v>40</v>
      </c>
      <c r="D4" s="2">
        <v>70</v>
      </c>
      <c r="E4" s="2">
        <v>2500</v>
      </c>
      <c r="F4" s="9">
        <v>7.0000000000000007E-2</v>
      </c>
      <c r="G4" s="2">
        <v>55000</v>
      </c>
      <c r="H4">
        <f t="shared" si="0"/>
        <v>10500</v>
      </c>
      <c r="I4">
        <f t="shared" si="1"/>
        <v>8500</v>
      </c>
      <c r="J4">
        <f t="shared" si="2"/>
        <v>2000</v>
      </c>
      <c r="M4" s="1" t="s">
        <v>28</v>
      </c>
      <c r="N4" s="2">
        <v>50</v>
      </c>
    </row>
    <row r="5" spans="1:16" x14ac:dyDescent="0.3">
      <c r="A5" s="2">
        <v>4</v>
      </c>
      <c r="B5" s="2">
        <v>130</v>
      </c>
      <c r="C5" s="2">
        <v>55</v>
      </c>
      <c r="D5" s="2">
        <v>85</v>
      </c>
      <c r="E5" s="2">
        <v>2100</v>
      </c>
      <c r="F5" s="10">
        <v>5.5E-2</v>
      </c>
      <c r="G5" s="2">
        <v>52000</v>
      </c>
      <c r="H5">
        <f t="shared" si="0"/>
        <v>11050</v>
      </c>
      <c r="I5">
        <f t="shared" si="1"/>
        <v>9250</v>
      </c>
      <c r="J5">
        <f t="shared" si="2"/>
        <v>1800</v>
      </c>
      <c r="M5" s="1" t="s">
        <v>29</v>
      </c>
      <c r="N5" s="2">
        <v>150</v>
      </c>
    </row>
    <row r="6" spans="1:16" x14ac:dyDescent="0.3">
      <c r="A6" s="2">
        <v>5</v>
      </c>
      <c r="B6" s="2">
        <v>160</v>
      </c>
      <c r="C6" s="2">
        <v>60</v>
      </c>
      <c r="D6" s="2">
        <v>90</v>
      </c>
      <c r="E6" s="2">
        <v>2600</v>
      </c>
      <c r="F6" s="10">
        <v>6.5000000000000002E-2</v>
      </c>
      <c r="G6" s="2">
        <v>58000</v>
      </c>
      <c r="H6">
        <f t="shared" si="0"/>
        <v>14400</v>
      </c>
      <c r="I6">
        <f t="shared" si="1"/>
        <v>12200</v>
      </c>
      <c r="J6">
        <f t="shared" si="2"/>
        <v>2200</v>
      </c>
      <c r="M6" s="1" t="s">
        <v>30</v>
      </c>
      <c r="N6" s="2">
        <v>2000</v>
      </c>
    </row>
    <row r="7" spans="1:16" x14ac:dyDescent="0.3">
      <c r="A7" s="2">
        <v>6</v>
      </c>
      <c r="B7" s="2">
        <v>140</v>
      </c>
      <c r="C7" s="2">
        <v>50</v>
      </c>
      <c r="D7" s="2">
        <v>80</v>
      </c>
      <c r="E7" s="2">
        <v>2300</v>
      </c>
      <c r="F7" s="10">
        <v>7.4999999999999997E-2</v>
      </c>
      <c r="G7" s="2">
        <v>61000</v>
      </c>
      <c r="H7">
        <f t="shared" si="0"/>
        <v>11200</v>
      </c>
      <c r="I7">
        <f t="shared" si="1"/>
        <v>9300</v>
      </c>
      <c r="J7">
        <f t="shared" si="2"/>
        <v>1900</v>
      </c>
      <c r="M7" s="1" t="s">
        <v>31</v>
      </c>
      <c r="N7" s="9">
        <v>0.05</v>
      </c>
    </row>
    <row r="8" spans="1:16" x14ac:dyDescent="0.3">
      <c r="A8" s="2">
        <v>7</v>
      </c>
      <c r="B8" s="2">
        <v>170</v>
      </c>
      <c r="C8" s="2">
        <v>65</v>
      </c>
      <c r="D8" s="2">
        <v>95</v>
      </c>
      <c r="E8" s="2">
        <v>2800</v>
      </c>
      <c r="F8" s="9">
        <v>0.08</v>
      </c>
      <c r="G8" s="2">
        <v>65000</v>
      </c>
      <c r="H8">
        <f t="shared" si="0"/>
        <v>16150</v>
      </c>
      <c r="I8">
        <f t="shared" si="1"/>
        <v>13850</v>
      </c>
      <c r="J8">
        <f t="shared" si="2"/>
        <v>2300</v>
      </c>
      <c r="M8" s="1" t="s">
        <v>32</v>
      </c>
      <c r="N8" s="2">
        <v>50000</v>
      </c>
    </row>
    <row r="9" spans="1:16" x14ac:dyDescent="0.3">
      <c r="A9" s="2">
        <v>8</v>
      </c>
      <c r="B9" s="2">
        <v>110</v>
      </c>
      <c r="C9" s="2">
        <v>48</v>
      </c>
      <c r="D9" s="2">
        <v>78</v>
      </c>
      <c r="E9" s="2">
        <v>2000</v>
      </c>
      <c r="F9" s="10">
        <v>5.1999999999999998E-2</v>
      </c>
      <c r="G9" s="2">
        <v>53000</v>
      </c>
      <c r="H9">
        <f t="shared" si="0"/>
        <v>8580</v>
      </c>
      <c r="I9">
        <f t="shared" si="1"/>
        <v>7280</v>
      </c>
      <c r="J9">
        <f t="shared" si="2"/>
        <v>1300</v>
      </c>
      <c r="M9" s="1" t="s">
        <v>33</v>
      </c>
      <c r="N9">
        <f>N3*N5</f>
        <v>15000</v>
      </c>
    </row>
    <row r="10" spans="1:16" x14ac:dyDescent="0.3">
      <c r="A10" s="2">
        <v>9</v>
      </c>
      <c r="B10" s="2">
        <v>180</v>
      </c>
      <c r="C10" s="2">
        <v>70</v>
      </c>
      <c r="D10" s="2">
        <v>100</v>
      </c>
      <c r="E10" s="2">
        <v>3000</v>
      </c>
      <c r="F10" s="9">
        <v>0.09</v>
      </c>
      <c r="G10" s="2">
        <v>70000</v>
      </c>
      <c r="H10">
        <f t="shared" si="0"/>
        <v>18000</v>
      </c>
      <c r="I10">
        <f t="shared" si="1"/>
        <v>15600</v>
      </c>
      <c r="J10">
        <f t="shared" si="2"/>
        <v>2400</v>
      </c>
      <c r="M10" s="1" t="s">
        <v>34</v>
      </c>
      <c r="N10">
        <f>(N3*N4)+N6</f>
        <v>7000</v>
      </c>
    </row>
    <row r="11" spans="1:16" x14ac:dyDescent="0.3">
      <c r="A11" s="2">
        <v>10</v>
      </c>
      <c r="B11" s="2">
        <v>125</v>
      </c>
      <c r="C11" s="2">
        <v>52</v>
      </c>
      <c r="D11" s="2">
        <v>82</v>
      </c>
      <c r="E11" s="2">
        <v>2100</v>
      </c>
      <c r="F11" s="9">
        <v>0.06</v>
      </c>
      <c r="G11" s="2">
        <v>56000</v>
      </c>
      <c r="H11">
        <f t="shared" si="0"/>
        <v>10250</v>
      </c>
      <c r="I11">
        <f t="shared" si="1"/>
        <v>8600</v>
      </c>
      <c r="J11">
        <f t="shared" si="2"/>
        <v>1650</v>
      </c>
      <c r="M11" s="1" t="s">
        <v>35</v>
      </c>
      <c r="N11">
        <f>N9-N10</f>
        <v>8000</v>
      </c>
    </row>
    <row r="12" spans="1:16" x14ac:dyDescent="0.3">
      <c r="A12" s="2">
        <v>11</v>
      </c>
      <c r="B12" s="2">
        <v>135</v>
      </c>
      <c r="C12" s="2">
        <v>47</v>
      </c>
      <c r="D12" s="2">
        <v>77</v>
      </c>
      <c r="E12" s="2">
        <v>2200</v>
      </c>
      <c r="F12" s="10">
        <v>6.2E-2</v>
      </c>
      <c r="G12" s="2">
        <v>59000</v>
      </c>
      <c r="H12">
        <f t="shared" si="0"/>
        <v>10395</v>
      </c>
      <c r="I12">
        <f t="shared" si="1"/>
        <v>8545</v>
      </c>
      <c r="J12">
        <f t="shared" si="2"/>
        <v>1850</v>
      </c>
    </row>
    <row r="13" spans="1:16" x14ac:dyDescent="0.3">
      <c r="A13" s="2">
        <v>12</v>
      </c>
      <c r="B13" s="2">
        <v>155</v>
      </c>
      <c r="C13" s="2">
        <v>43</v>
      </c>
      <c r="D13" s="2">
        <v>73</v>
      </c>
      <c r="E13" s="2">
        <v>2400</v>
      </c>
      <c r="F13" s="10">
        <v>7.1999999999999995E-2</v>
      </c>
      <c r="G13" s="2">
        <v>60000</v>
      </c>
      <c r="H13">
        <f t="shared" si="0"/>
        <v>11315</v>
      </c>
      <c r="I13">
        <f t="shared" si="1"/>
        <v>9065</v>
      </c>
      <c r="J13">
        <f t="shared" si="2"/>
        <v>2250</v>
      </c>
    </row>
    <row r="14" spans="1:16" x14ac:dyDescent="0.3">
      <c r="A14" s="2">
        <v>13</v>
      </c>
      <c r="B14" s="2">
        <v>165</v>
      </c>
      <c r="C14" s="2">
        <v>60</v>
      </c>
      <c r="D14" s="2">
        <v>88</v>
      </c>
      <c r="E14" s="2">
        <v>2700</v>
      </c>
      <c r="F14" s="10">
        <v>8.1000000000000003E-2</v>
      </c>
      <c r="G14" s="2">
        <v>64000</v>
      </c>
      <c r="H14">
        <f t="shared" si="0"/>
        <v>14520</v>
      </c>
      <c r="I14">
        <f t="shared" si="1"/>
        <v>12600</v>
      </c>
      <c r="J14">
        <f t="shared" si="2"/>
        <v>1920</v>
      </c>
    </row>
    <row r="15" spans="1:16" x14ac:dyDescent="0.3">
      <c r="A15" s="2">
        <v>14</v>
      </c>
      <c r="B15" s="2">
        <v>145</v>
      </c>
      <c r="C15" s="2">
        <v>55</v>
      </c>
      <c r="D15" s="2">
        <v>85</v>
      </c>
      <c r="E15" s="2">
        <v>2500</v>
      </c>
      <c r="F15" s="9">
        <v>7.0000000000000007E-2</v>
      </c>
      <c r="G15" s="2">
        <v>62000</v>
      </c>
      <c r="H15">
        <f t="shared" si="0"/>
        <v>12325</v>
      </c>
      <c r="I15">
        <f t="shared" si="1"/>
        <v>10475</v>
      </c>
      <c r="J15">
        <f t="shared" si="2"/>
        <v>1850</v>
      </c>
    </row>
    <row r="16" spans="1:16" x14ac:dyDescent="0.3">
      <c r="A16" s="2">
        <v>15</v>
      </c>
      <c r="B16" s="2">
        <v>175</v>
      </c>
      <c r="C16" s="2">
        <v>68</v>
      </c>
      <c r="D16" s="2">
        <v>98</v>
      </c>
      <c r="E16" s="2">
        <v>2900</v>
      </c>
      <c r="F16" s="10">
        <v>8.5000000000000006E-2</v>
      </c>
      <c r="G16" s="2">
        <v>68000</v>
      </c>
      <c r="H16">
        <f t="shared" si="0"/>
        <v>17150</v>
      </c>
      <c r="I16">
        <f t="shared" si="1"/>
        <v>14800</v>
      </c>
      <c r="J16">
        <f t="shared" si="2"/>
        <v>2350</v>
      </c>
    </row>
    <row r="17" spans="1:10" x14ac:dyDescent="0.3">
      <c r="A17" s="2">
        <v>16</v>
      </c>
      <c r="B17" s="2">
        <v>105</v>
      </c>
      <c r="C17" s="2">
        <v>45</v>
      </c>
      <c r="D17" s="2">
        <v>75</v>
      </c>
      <c r="E17" s="2">
        <v>1900</v>
      </c>
      <c r="F17" s="9">
        <v>0.05</v>
      </c>
      <c r="G17" s="2">
        <v>50000</v>
      </c>
      <c r="H17">
        <f t="shared" si="0"/>
        <v>7875</v>
      </c>
      <c r="I17">
        <f t="shared" si="1"/>
        <v>6625</v>
      </c>
      <c r="J17">
        <f t="shared" si="2"/>
        <v>1250</v>
      </c>
    </row>
    <row r="18" spans="1:10" x14ac:dyDescent="0.3">
      <c r="A18" s="2">
        <v>17</v>
      </c>
      <c r="B18" s="2">
        <v>185</v>
      </c>
      <c r="C18" s="2">
        <v>72</v>
      </c>
      <c r="D18" s="2">
        <v>102</v>
      </c>
      <c r="E18" s="2">
        <v>3100</v>
      </c>
      <c r="F18" s="10">
        <v>9.1999999999999998E-2</v>
      </c>
      <c r="G18" s="2">
        <v>72000</v>
      </c>
      <c r="H18">
        <f t="shared" si="0"/>
        <v>18870</v>
      </c>
      <c r="I18">
        <f t="shared" si="1"/>
        <v>16420</v>
      </c>
      <c r="J18">
        <f t="shared" si="2"/>
        <v>2450</v>
      </c>
    </row>
    <row r="19" spans="1:10" x14ac:dyDescent="0.3">
      <c r="A19" s="2">
        <v>18</v>
      </c>
      <c r="B19" s="2">
        <v>115</v>
      </c>
      <c r="C19" s="2">
        <v>49</v>
      </c>
      <c r="D19" s="2">
        <v>79</v>
      </c>
      <c r="E19" s="2">
        <v>2050</v>
      </c>
      <c r="F19" s="10">
        <v>5.5E-2</v>
      </c>
      <c r="G19" s="2">
        <v>54000</v>
      </c>
      <c r="H19">
        <f t="shared" si="0"/>
        <v>9085</v>
      </c>
      <c r="I19">
        <f t="shared" si="1"/>
        <v>7685</v>
      </c>
      <c r="J19">
        <f t="shared" si="2"/>
        <v>1400</v>
      </c>
    </row>
    <row r="20" spans="1:10" x14ac:dyDescent="0.3">
      <c r="A20" s="2">
        <v>19</v>
      </c>
      <c r="B20" s="2">
        <v>125</v>
      </c>
      <c r="C20" s="2">
        <v>53</v>
      </c>
      <c r="D20" s="2">
        <v>83</v>
      </c>
      <c r="E20" s="2">
        <v>2150</v>
      </c>
      <c r="F20" s="10">
        <v>6.3E-2</v>
      </c>
      <c r="G20" s="2">
        <v>57000</v>
      </c>
      <c r="H20">
        <f t="shared" si="0"/>
        <v>10375</v>
      </c>
      <c r="I20">
        <f t="shared" si="1"/>
        <v>8775</v>
      </c>
      <c r="J20">
        <f t="shared" si="2"/>
        <v>1600</v>
      </c>
    </row>
    <row r="21" spans="1:10" x14ac:dyDescent="0.3">
      <c r="A21" s="2">
        <v>20</v>
      </c>
      <c r="B21" s="2">
        <v>135</v>
      </c>
      <c r="C21" s="2">
        <v>58</v>
      </c>
      <c r="D21" s="2">
        <v>88</v>
      </c>
      <c r="E21" s="2">
        <v>2250</v>
      </c>
      <c r="F21" s="10">
        <v>7.0999999999999994E-2</v>
      </c>
      <c r="G21" s="2">
        <v>60000</v>
      </c>
      <c r="H21">
        <f t="shared" si="0"/>
        <v>11880</v>
      </c>
      <c r="I21">
        <f t="shared" si="1"/>
        <v>10080</v>
      </c>
      <c r="J21">
        <f t="shared" si="2"/>
        <v>1800</v>
      </c>
    </row>
    <row r="22" spans="1:10" x14ac:dyDescent="0.3">
      <c r="A22" s="2">
        <v>21</v>
      </c>
      <c r="B22" s="2">
        <v>145</v>
      </c>
      <c r="C22" s="2">
        <v>60</v>
      </c>
      <c r="D22" s="2">
        <v>90</v>
      </c>
      <c r="E22" s="2">
        <v>2350</v>
      </c>
      <c r="F22" s="10">
        <v>7.8E-2</v>
      </c>
      <c r="G22" s="2">
        <v>63000</v>
      </c>
      <c r="H22">
        <f t="shared" si="0"/>
        <v>13050</v>
      </c>
      <c r="I22">
        <f t="shared" si="1"/>
        <v>11050</v>
      </c>
      <c r="J22">
        <f t="shared" si="2"/>
        <v>2000</v>
      </c>
    </row>
    <row r="23" spans="1:10" x14ac:dyDescent="0.3">
      <c r="A23" s="2">
        <v>22</v>
      </c>
      <c r="B23" s="2">
        <v>155</v>
      </c>
      <c r="C23" s="2">
        <v>62</v>
      </c>
      <c r="D23" s="2">
        <v>92</v>
      </c>
      <c r="E23" s="2">
        <v>2450</v>
      </c>
      <c r="F23" s="10">
        <v>8.2000000000000003E-2</v>
      </c>
      <c r="G23" s="2">
        <v>66000</v>
      </c>
      <c r="H23">
        <f t="shared" si="0"/>
        <v>14260</v>
      </c>
      <c r="I23">
        <f t="shared" si="1"/>
        <v>12060</v>
      </c>
      <c r="J23">
        <f t="shared" si="2"/>
        <v>2200</v>
      </c>
    </row>
    <row r="24" spans="1:10" x14ac:dyDescent="0.3">
      <c r="A24" s="2">
        <v>23</v>
      </c>
      <c r="B24" s="2">
        <v>165</v>
      </c>
      <c r="C24" s="2">
        <v>64</v>
      </c>
      <c r="D24" s="2">
        <v>94</v>
      </c>
      <c r="E24" s="2">
        <v>2550</v>
      </c>
      <c r="F24" s="10">
        <v>8.6999999999999994E-2</v>
      </c>
      <c r="G24" s="2">
        <v>69000</v>
      </c>
      <c r="H24">
        <f t="shared" si="0"/>
        <v>15510</v>
      </c>
      <c r="I24">
        <f t="shared" si="1"/>
        <v>13110</v>
      </c>
      <c r="J24">
        <f t="shared" si="2"/>
        <v>2400</v>
      </c>
    </row>
    <row r="25" spans="1:10" x14ac:dyDescent="0.3">
      <c r="A25" s="2">
        <v>24</v>
      </c>
      <c r="B25" s="2">
        <v>175</v>
      </c>
      <c r="C25" s="2">
        <v>66</v>
      </c>
      <c r="D25" s="2">
        <v>96</v>
      </c>
      <c r="E25" s="2">
        <v>2650</v>
      </c>
      <c r="F25" s="9">
        <v>0.09</v>
      </c>
      <c r="G25" s="2">
        <v>71000</v>
      </c>
      <c r="H25">
        <f t="shared" si="0"/>
        <v>16800</v>
      </c>
      <c r="I25">
        <f t="shared" si="1"/>
        <v>14200</v>
      </c>
      <c r="J25">
        <f t="shared" si="2"/>
        <v>2600</v>
      </c>
    </row>
    <row r="26" spans="1:10" x14ac:dyDescent="0.3">
      <c r="A26" s="2">
        <v>25</v>
      </c>
      <c r="B26" s="2">
        <v>185</v>
      </c>
      <c r="C26" s="2">
        <v>68</v>
      </c>
      <c r="D26" s="2">
        <v>98</v>
      </c>
      <c r="E26" s="2">
        <v>2750</v>
      </c>
      <c r="F26" s="10">
        <v>9.5000000000000001E-2</v>
      </c>
      <c r="G26" s="2">
        <v>74000</v>
      </c>
      <c r="H26">
        <f t="shared" si="0"/>
        <v>18130</v>
      </c>
      <c r="I26">
        <f t="shared" si="1"/>
        <v>15330</v>
      </c>
      <c r="J26">
        <f t="shared" si="2"/>
        <v>2800</v>
      </c>
    </row>
    <row r="27" spans="1:10" x14ac:dyDescent="0.3">
      <c r="A27" s="2">
        <v>26</v>
      </c>
      <c r="B27" s="2">
        <v>195</v>
      </c>
      <c r="C27" s="2">
        <v>70</v>
      </c>
      <c r="D27" s="2">
        <v>100</v>
      </c>
      <c r="E27" s="2">
        <v>2850</v>
      </c>
      <c r="F27" s="9">
        <v>0.1</v>
      </c>
      <c r="G27" s="2">
        <v>76000</v>
      </c>
      <c r="H27">
        <f t="shared" si="0"/>
        <v>19500</v>
      </c>
      <c r="I27">
        <f t="shared" si="1"/>
        <v>16500</v>
      </c>
      <c r="J27">
        <f t="shared" si="2"/>
        <v>3000</v>
      </c>
    </row>
    <row r="28" spans="1:10" x14ac:dyDescent="0.3">
      <c r="A28" s="2">
        <v>27</v>
      </c>
      <c r="B28" s="2">
        <v>205</v>
      </c>
      <c r="C28" s="2">
        <v>72</v>
      </c>
      <c r="D28" s="2">
        <v>102</v>
      </c>
      <c r="E28" s="2">
        <v>2950</v>
      </c>
      <c r="F28" s="10">
        <v>0.105</v>
      </c>
      <c r="G28" s="2">
        <v>78000</v>
      </c>
      <c r="H28">
        <f t="shared" si="0"/>
        <v>20910</v>
      </c>
      <c r="I28">
        <f t="shared" si="1"/>
        <v>17710</v>
      </c>
      <c r="J28">
        <f t="shared" si="2"/>
        <v>3200</v>
      </c>
    </row>
    <row r="29" spans="1:10" x14ac:dyDescent="0.3">
      <c r="A29" s="2">
        <v>28</v>
      </c>
      <c r="B29" s="2">
        <v>215</v>
      </c>
      <c r="C29" s="2">
        <v>74</v>
      </c>
      <c r="D29" s="2">
        <v>104</v>
      </c>
      <c r="E29" s="2">
        <v>3050</v>
      </c>
      <c r="F29" s="9">
        <v>0.11</v>
      </c>
      <c r="G29" s="2">
        <v>80000</v>
      </c>
      <c r="H29">
        <f t="shared" si="0"/>
        <v>22360</v>
      </c>
      <c r="I29">
        <f t="shared" si="1"/>
        <v>18960</v>
      </c>
      <c r="J29">
        <f t="shared" si="2"/>
        <v>3400</v>
      </c>
    </row>
    <row r="30" spans="1:10" x14ac:dyDescent="0.3">
      <c r="A30" s="2">
        <v>29</v>
      </c>
      <c r="B30" s="2">
        <v>225</v>
      </c>
      <c r="C30" s="2">
        <v>76</v>
      </c>
      <c r="D30" s="2">
        <v>106</v>
      </c>
      <c r="E30" s="2">
        <v>3150</v>
      </c>
      <c r="F30" s="10">
        <v>0.115</v>
      </c>
      <c r="G30" s="2">
        <v>82000</v>
      </c>
      <c r="H30">
        <f t="shared" si="0"/>
        <v>23850</v>
      </c>
      <c r="I30">
        <f t="shared" si="1"/>
        <v>20250</v>
      </c>
      <c r="J30">
        <f t="shared" si="2"/>
        <v>3600</v>
      </c>
    </row>
    <row r="31" spans="1:10" x14ac:dyDescent="0.3">
      <c r="A31" s="2">
        <v>30</v>
      </c>
      <c r="B31" s="2">
        <v>235</v>
      </c>
      <c r="C31" s="2">
        <v>78</v>
      </c>
      <c r="D31" s="2">
        <v>108</v>
      </c>
      <c r="E31" s="2">
        <v>3250</v>
      </c>
      <c r="F31" s="9">
        <v>0.12</v>
      </c>
      <c r="G31" s="2">
        <v>85000</v>
      </c>
      <c r="H31">
        <f t="shared" si="0"/>
        <v>25380</v>
      </c>
      <c r="I31">
        <f t="shared" si="1"/>
        <v>21580</v>
      </c>
      <c r="J31">
        <f t="shared" si="2"/>
        <v>3800</v>
      </c>
    </row>
    <row r="110" spans="11:12" ht="15" thickBot="1" x14ac:dyDescent="0.35"/>
    <row r="111" spans="11:12" ht="29.4" thickBot="1" x14ac:dyDescent="0.35">
      <c r="K111" s="3" t="s">
        <v>0</v>
      </c>
      <c r="L111" s="4" t="s">
        <v>14</v>
      </c>
    </row>
    <row r="112" spans="11:12" ht="144.6" thickBot="1" x14ac:dyDescent="0.35">
      <c r="K112" s="5">
        <v>1</v>
      </c>
      <c r="L112" s="6" t="s">
        <v>21</v>
      </c>
    </row>
    <row r="113" spans="11:12" ht="144.6" thickBot="1" x14ac:dyDescent="0.35">
      <c r="K113" s="5">
        <v>2</v>
      </c>
      <c r="L113" s="6" t="s">
        <v>22</v>
      </c>
    </row>
    <row r="114" spans="11:12" ht="130.19999999999999" thickBot="1" x14ac:dyDescent="0.35">
      <c r="K114" s="5">
        <v>3</v>
      </c>
      <c r="L114" s="6" t="s">
        <v>23</v>
      </c>
    </row>
    <row r="115" spans="11:12" ht="130.19999999999999" thickBot="1" x14ac:dyDescent="0.35">
      <c r="K115" s="5">
        <v>4</v>
      </c>
      <c r="L115" s="6" t="s">
        <v>24</v>
      </c>
    </row>
    <row r="116" spans="11:12" ht="115.8" thickBot="1" x14ac:dyDescent="0.35">
      <c r="K116" s="5">
        <v>5</v>
      </c>
      <c r="L116" s="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Bhesania</dc:creator>
  <cp:lastModifiedBy>Ahmed Bhesania</cp:lastModifiedBy>
  <dcterms:created xsi:type="dcterms:W3CDTF">2026-04-09T09:12:47Z</dcterms:created>
  <dcterms:modified xsi:type="dcterms:W3CDTF">2026-04-09T09:41:40Z</dcterms:modified>
</cp:coreProperties>
</file>