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01" documentId="11_49BDD0A3F9439D85F291512952E42D61EFB27B4D" xr6:coauthVersionLast="47" xr6:coauthVersionMax="47" xr10:uidLastSave="{811EC0B1-84B4-4CE2-BA7A-275DB421F267}"/>
  <bookViews>
    <workbookView xWindow="-108" yWindow="-108" windowWidth="23256" windowHeight="12456" activeTab="3" xr2:uid="{00000000-000D-0000-FFFF-FFFF00000000}"/>
  </bookViews>
  <sheets>
    <sheet name="Date Functions" sheetId="1" r:id="rId1"/>
    <sheet name="Time Functions" sheetId="2" r:id="rId2"/>
    <sheet name="Math Functions" sheetId="3" r:id="rId3"/>
    <sheet name="Filter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4" l="1" a="1"/>
  <c r="C29" i="4" s="1"/>
  <c r="D25" i="4" a="1"/>
  <c r="D25" i="4" s="1"/>
  <c r="D19" i="4" a="1"/>
  <c r="D19" i="4" s="1"/>
  <c r="D15" i="4" a="1"/>
  <c r="D15" i="4" s="1"/>
  <c r="C8" i="4" a="1"/>
  <c r="C8" i="4" s="1"/>
  <c r="D21" i="3"/>
  <c r="D18" i="3"/>
  <c r="E15" i="3"/>
  <c r="D12" i="3"/>
  <c r="C12" i="3"/>
  <c r="C9" i="3"/>
  <c r="D20" i="2"/>
  <c r="C20" i="2"/>
  <c r="E17" i="2"/>
  <c r="F14" i="2"/>
  <c r="C9" i="2"/>
  <c r="C11" i="2" s="1"/>
  <c r="C18" i="1"/>
  <c r="C16" i="1"/>
  <c r="C14" i="1"/>
  <c r="C12" i="1"/>
  <c r="C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<sst xmlns="http://schemas.openxmlformats.org/spreadsheetml/2006/main" count="142" uniqueCount="82">
  <si>
    <t>Task</t>
  </si>
  <si>
    <t>Challenges</t>
  </si>
  <si>
    <t>1</t>
  </si>
  <si>
    <t>Use TODAY() to display the current date in a cell.</t>
  </si>
  <si>
    <t>2</t>
  </si>
  <si>
    <t>Use EOMONTH() to find the last day of the current month.</t>
  </si>
  <si>
    <t>3</t>
  </si>
  <si>
    <t>Extract the year from a given date using YEAR() function.</t>
  </si>
  <si>
    <t>4</t>
  </si>
  <si>
    <t>Calculate the difference in days between two dates using DATEDIF().</t>
  </si>
  <si>
    <t>Use DATE() function to create a date from year, month, and day values.</t>
  </si>
  <si>
    <t>Use NOW() to display the current date and time.</t>
  </si>
  <si>
    <t>Extract the hour from a given time using HOUR() function.</t>
  </si>
  <si>
    <t>Convert a given number to a time format using TIME() function.</t>
  </si>
  <si>
    <t>Calculate the difference between two times using TEXT() function.</t>
  </si>
  <si>
    <t>Use MINUTE() and SECOND() functions to extract respective values from a time.</t>
  </si>
  <si>
    <t>Use ROUND() to round a decimal number to 2 decimal places.</t>
  </si>
  <si>
    <t>Apply CEILING() and FLOOR() functions to round a number upwards and downwards.</t>
  </si>
  <si>
    <t>Use MOD() to get the remainder of a division operation.</t>
  </si>
  <si>
    <t>Calculate the square root of a number using SQRT() function.</t>
  </si>
  <si>
    <t>Use ABS() function to get the absolute value of a given number.</t>
  </si>
  <si>
    <t>Use FILTER() to extract values greater than 50 from a given dataset.</t>
  </si>
  <si>
    <t>Apply FILTER() to show all sales above a certain threshold from a sales table.</t>
  </si>
  <si>
    <t>Use FILTER() to display all records matching a specific category.</t>
  </si>
  <si>
    <t>Combine FILTER() with SORT() to show filtered and sorted results.</t>
  </si>
  <si>
    <t>Use FILTER() with multiple conditions (e.g., price &gt; 100 and category = 'Electronics').</t>
  </si>
  <si>
    <t>ID</t>
  </si>
  <si>
    <t>Start Date</t>
  </si>
  <si>
    <t>End Date</t>
  </si>
  <si>
    <t>Year</t>
  </si>
  <si>
    <t>Month</t>
  </si>
  <si>
    <t>Day</t>
  </si>
  <si>
    <t>HOUR</t>
  </si>
  <si>
    <t>MINUTE</t>
  </si>
  <si>
    <t>SECONDS</t>
  </si>
  <si>
    <t>TIME</t>
  </si>
  <si>
    <t>TIME 1</t>
  </si>
  <si>
    <t>TIME 2</t>
  </si>
  <si>
    <t>RESULT</t>
  </si>
  <si>
    <t>SECOND</t>
  </si>
  <si>
    <t>CEIL</t>
  </si>
  <si>
    <t>FLOOR</t>
  </si>
  <si>
    <t>NUMBER</t>
  </si>
  <si>
    <t>DIVISOR</t>
  </si>
  <si>
    <t>REMAINDER</t>
  </si>
  <si>
    <t>SQUARE ROOT</t>
  </si>
  <si>
    <t>ABS VALUE</t>
  </si>
  <si>
    <t>Product Name</t>
  </si>
  <si>
    <t>Category</t>
  </si>
  <si>
    <t>Price</t>
  </si>
  <si>
    <t>Quantity</t>
  </si>
  <si>
    <t>Sales</t>
  </si>
  <si>
    <t>Laptop</t>
  </si>
  <si>
    <t>Electronics</t>
  </si>
  <si>
    <t>Headphones</t>
  </si>
  <si>
    <t>Shirt</t>
  </si>
  <si>
    <t>Clothing</t>
  </si>
  <si>
    <t>Jeans</t>
  </si>
  <si>
    <t>Smartphone</t>
  </si>
  <si>
    <t>Watch</t>
  </si>
  <si>
    <t>Accessories</t>
  </si>
  <si>
    <t>Shoes</t>
  </si>
  <si>
    <t>Footwear</t>
  </si>
  <si>
    <t>Sandals</t>
  </si>
  <si>
    <t>Tablet</t>
  </si>
  <si>
    <t>Jacket</t>
  </si>
  <si>
    <t>Backpack</t>
  </si>
  <si>
    <t>Sunglasses</t>
  </si>
  <si>
    <t>Monitor</t>
  </si>
  <si>
    <t>Keyboard</t>
  </si>
  <si>
    <t>Mouse</t>
  </si>
  <si>
    <t>T-shirt</t>
  </si>
  <si>
    <t>Formal Shoes</t>
  </si>
  <si>
    <t>Cap</t>
  </si>
  <si>
    <t>Printer</t>
  </si>
  <si>
    <t>Speaker</t>
  </si>
  <si>
    <t>Use FILTER() to extract values greater than 150 from a given dataset.</t>
  </si>
  <si>
    <t>THRESHOLD VALUE</t>
  </si>
  <si>
    <t xml:space="preserve">CATEGORY </t>
  </si>
  <si>
    <t>CLOTHINH</t>
  </si>
  <si>
    <t>QUANTITY</t>
  </si>
  <si>
    <t>GREATER THAN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</si>
</sst>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dd/dd/mm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22" fontId="3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8" fontId="3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5" sqref="C5"/>
    </sheetView>
  </sheetViews>
  <sheetFormatPr defaultColWidth="14.44140625" defaultRowHeight="14.4" x14ac:dyDescent="0.3"/>
  <cols>
    <col min="1" max="1" width="4.77734375" bestFit="1" customWidth="1"/>
    <col min="2" max="2" width="60" bestFit="1" customWidth="1"/>
    <col min="3" max="3" width="17.6640625" bestFit="1" customWidth="1"/>
    <col min="4" max="5" width="8.6640625" customWidth="1"/>
    <col min="6" max="6" width="3" bestFit="1" customWidth="1"/>
    <col min="7" max="8" width="10.33203125" bestFit="1" customWidth="1"/>
    <col min="9" max="9" width="5" bestFit="1" customWidth="1"/>
    <col min="10" max="10" width="6.77734375" bestFit="1" customWidth="1"/>
    <col min="11" max="11" width="4.21875" bestFit="1" customWidth="1"/>
    <col min="12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3</v>
      </c>
      <c r="C2" s="2"/>
      <c r="D2" s="2"/>
      <c r="E2" s="2"/>
      <c r="F2" s="11">
        <v>1</v>
      </c>
      <c r="G2" s="12">
        <v>45292</v>
      </c>
      <c r="H2" s="12">
        <v>45301</v>
      </c>
      <c r="I2" s="11">
        <v>2025</v>
      </c>
      <c r="J2" s="11">
        <v>1</v>
      </c>
      <c r="K2" s="11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5</v>
      </c>
      <c r="C3" s="2"/>
      <c r="D3" s="2"/>
      <c r="E3" s="2"/>
      <c r="F3" s="11">
        <v>2</v>
      </c>
      <c r="G3" s="12">
        <v>45296</v>
      </c>
      <c r="H3" s="12">
        <v>45311</v>
      </c>
      <c r="I3" s="11">
        <v>2024</v>
      </c>
      <c r="J3" s="11">
        <v>2</v>
      </c>
      <c r="K3" s="11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7</v>
      </c>
      <c r="C4" s="2"/>
      <c r="D4" s="2"/>
      <c r="E4" s="2"/>
      <c r="F4" s="11">
        <v>3</v>
      </c>
      <c r="G4" s="12">
        <v>45301</v>
      </c>
      <c r="H4" s="12">
        <v>45316</v>
      </c>
      <c r="I4" s="11">
        <v>2023</v>
      </c>
      <c r="J4" s="11">
        <v>3</v>
      </c>
      <c r="K4" s="11">
        <v>15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9</v>
      </c>
      <c r="C5" s="2"/>
      <c r="D5" s="2"/>
      <c r="E5" s="2"/>
      <c r="F5" s="11">
        <v>4</v>
      </c>
      <c r="G5" s="12">
        <v>45306</v>
      </c>
      <c r="H5" s="12">
        <v>45321</v>
      </c>
      <c r="I5" s="11">
        <v>2022</v>
      </c>
      <c r="J5" s="11">
        <v>4</v>
      </c>
      <c r="K5" s="11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4" t="s">
        <v>10</v>
      </c>
      <c r="C6" s="2"/>
      <c r="D6" s="2"/>
      <c r="E6" s="2"/>
      <c r="F6" s="11">
        <v>5</v>
      </c>
      <c r="G6" s="12">
        <v>45311</v>
      </c>
      <c r="H6" s="12">
        <v>45327</v>
      </c>
      <c r="I6" s="11">
        <v>2021</v>
      </c>
      <c r="J6" s="11">
        <v>5</v>
      </c>
      <c r="K6" s="11">
        <v>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5"/>
      <c r="C7" s="2"/>
      <c r="D7" s="2"/>
      <c r="E7" s="2"/>
      <c r="F7" s="11">
        <v>6</v>
      </c>
      <c r="G7" s="12">
        <v>45316</v>
      </c>
      <c r="H7" s="12">
        <v>45332</v>
      </c>
      <c r="I7" s="11">
        <v>2020</v>
      </c>
      <c r="J7" s="11">
        <v>6</v>
      </c>
      <c r="K7" s="11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5"/>
      <c r="C8" s="2"/>
      <c r="D8" s="2"/>
      <c r="E8" s="2"/>
      <c r="F8" s="11">
        <v>7</v>
      </c>
      <c r="G8" s="12">
        <v>45323</v>
      </c>
      <c r="H8" s="12">
        <v>45337</v>
      </c>
      <c r="I8" s="11">
        <v>2019</v>
      </c>
      <c r="J8" s="11">
        <v>7</v>
      </c>
      <c r="K8" s="11">
        <v>18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5"/>
      <c r="C9" s="2"/>
      <c r="D9" s="2"/>
      <c r="E9" s="2"/>
      <c r="F9" s="11">
        <v>8</v>
      </c>
      <c r="G9" s="12">
        <v>45327</v>
      </c>
      <c r="H9" s="12">
        <v>45342</v>
      </c>
      <c r="I9" s="11">
        <v>2018</v>
      </c>
      <c r="J9" s="11">
        <v>8</v>
      </c>
      <c r="K9" s="11">
        <v>22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6" t="s">
        <v>3</v>
      </c>
      <c r="C10" s="7">
        <f ca="1">TODAY()</f>
        <v>46131</v>
      </c>
      <c r="D10" s="2"/>
      <c r="E10" s="2"/>
      <c r="F10" s="11">
        <v>9</v>
      </c>
      <c r="G10" s="12">
        <v>45332</v>
      </c>
      <c r="H10" s="12">
        <v>45347</v>
      </c>
      <c r="I10" s="11">
        <v>2017</v>
      </c>
      <c r="J10" s="11">
        <v>9</v>
      </c>
      <c r="K10" s="11">
        <v>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5"/>
      <c r="C11" s="2"/>
      <c r="D11" s="2"/>
      <c r="E11" s="2"/>
      <c r="F11" s="11">
        <v>10</v>
      </c>
      <c r="G11" s="12">
        <v>45337</v>
      </c>
      <c r="H11" s="12">
        <v>45352</v>
      </c>
      <c r="I11" s="11">
        <v>2016</v>
      </c>
      <c r="J11" s="11">
        <v>10</v>
      </c>
      <c r="K11" s="11">
        <v>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6" t="s">
        <v>5</v>
      </c>
      <c r="C12" s="7">
        <f>EOMONTH(G3,0)</f>
        <v>45322</v>
      </c>
      <c r="D12" s="2"/>
      <c r="E12" s="2"/>
      <c r="F12" s="11">
        <v>11</v>
      </c>
      <c r="G12" s="12">
        <v>45342</v>
      </c>
      <c r="H12" s="12">
        <v>45356</v>
      </c>
      <c r="I12" s="11">
        <v>2015</v>
      </c>
      <c r="J12" s="11">
        <v>11</v>
      </c>
      <c r="K12" s="11">
        <v>14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5"/>
      <c r="C13" s="2"/>
      <c r="D13" s="2"/>
      <c r="E13" s="2"/>
      <c r="F13" s="11">
        <v>12</v>
      </c>
      <c r="G13" s="12">
        <v>45347</v>
      </c>
      <c r="H13" s="12">
        <v>45361</v>
      </c>
      <c r="I13" s="11">
        <v>2014</v>
      </c>
      <c r="J13" s="11">
        <v>12</v>
      </c>
      <c r="K13" s="11">
        <v>19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6" t="s">
        <v>7</v>
      </c>
      <c r="C14" s="8">
        <f>YEAR(G4)</f>
        <v>2024</v>
      </c>
      <c r="D14" s="2"/>
      <c r="E14" s="2"/>
      <c r="F14" s="11">
        <v>13</v>
      </c>
      <c r="G14" s="12">
        <v>45352</v>
      </c>
      <c r="H14" s="12">
        <v>45366</v>
      </c>
      <c r="I14" s="11">
        <v>2013</v>
      </c>
      <c r="J14" s="11">
        <v>1</v>
      </c>
      <c r="K14" s="11">
        <v>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5"/>
      <c r="C15" s="2"/>
      <c r="D15" s="2"/>
      <c r="E15" s="2"/>
      <c r="F15" s="11">
        <v>14</v>
      </c>
      <c r="G15" s="12">
        <v>45356</v>
      </c>
      <c r="H15" s="12">
        <v>45371</v>
      </c>
      <c r="I15" s="11">
        <v>2012</v>
      </c>
      <c r="J15" s="11">
        <v>2</v>
      </c>
      <c r="K15" s="11">
        <v>27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6" t="s">
        <v>9</v>
      </c>
      <c r="C16" s="8">
        <f>DATEDIF(G3,G5,"D")</f>
        <v>10</v>
      </c>
      <c r="D16" s="2"/>
      <c r="E16" s="2"/>
      <c r="F16" s="11">
        <v>15</v>
      </c>
      <c r="G16" s="12">
        <v>45361</v>
      </c>
      <c r="H16" s="12">
        <v>45376</v>
      </c>
      <c r="I16" s="11">
        <v>2011</v>
      </c>
      <c r="J16" s="11">
        <v>3</v>
      </c>
      <c r="K16" s="11">
        <v>11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5"/>
      <c r="C17" s="2"/>
      <c r="D17" s="2"/>
      <c r="E17" s="2"/>
      <c r="F17" s="11">
        <v>16</v>
      </c>
      <c r="G17" s="12">
        <v>45366</v>
      </c>
      <c r="H17" s="12">
        <v>45381</v>
      </c>
      <c r="I17" s="11">
        <v>2010</v>
      </c>
      <c r="J17" s="11">
        <v>4</v>
      </c>
      <c r="K17" s="11">
        <v>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6" t="s">
        <v>10</v>
      </c>
      <c r="C18" s="9">
        <f>DATE(I2,J2,K2)</f>
        <v>45662</v>
      </c>
      <c r="D18" s="2"/>
      <c r="E18" s="2"/>
      <c r="F18" s="11">
        <v>17</v>
      </c>
      <c r="G18" s="12">
        <v>45371</v>
      </c>
      <c r="H18" s="12">
        <v>45387</v>
      </c>
      <c r="I18" s="11">
        <v>2009</v>
      </c>
      <c r="J18" s="11">
        <v>5</v>
      </c>
      <c r="K18" s="11">
        <v>17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5"/>
      <c r="C19" s="2"/>
      <c r="D19" s="2"/>
      <c r="E19" s="2"/>
      <c r="F19" s="11">
        <v>18</v>
      </c>
      <c r="G19" s="12">
        <v>45376</v>
      </c>
      <c r="H19" s="12">
        <v>45392</v>
      </c>
      <c r="I19" s="11">
        <v>2008</v>
      </c>
      <c r="J19" s="11">
        <v>6</v>
      </c>
      <c r="K19" s="11">
        <v>23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5"/>
      <c r="C20" s="2"/>
      <c r="D20" s="2"/>
      <c r="E20" s="2"/>
      <c r="F20" s="11">
        <v>19</v>
      </c>
      <c r="G20" s="12">
        <v>45383</v>
      </c>
      <c r="H20" s="12">
        <v>45397</v>
      </c>
      <c r="I20" s="11">
        <v>2007</v>
      </c>
      <c r="J20" s="11">
        <v>7</v>
      </c>
      <c r="K20" s="11">
        <v>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5"/>
      <c r="C21" s="2"/>
      <c r="D21" s="2"/>
      <c r="E21" s="2"/>
      <c r="F21" s="11">
        <v>20</v>
      </c>
      <c r="G21" s="12">
        <v>45387</v>
      </c>
      <c r="H21" s="12">
        <v>45402</v>
      </c>
      <c r="I21" s="11">
        <v>2006</v>
      </c>
      <c r="J21" s="11">
        <v>8</v>
      </c>
      <c r="K21" s="11">
        <v>28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3" sqref="I13"/>
    </sheetView>
  </sheetViews>
  <sheetFormatPr defaultColWidth="14.44140625" defaultRowHeight="15" customHeight="1" x14ac:dyDescent="0.3"/>
  <cols>
    <col min="1" max="1" width="8.6640625" customWidth="1"/>
    <col min="2" max="2" width="71" customWidth="1"/>
    <col min="3" max="3" width="16" customWidth="1"/>
    <col min="4" max="5" width="8.6640625" customWidth="1"/>
    <col min="6" max="6" width="14" customWidth="1"/>
    <col min="7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6" t="s">
        <v>11</v>
      </c>
      <c r="C9" s="13">
        <f ca="1">NOW()</f>
        <v>46131.693579976854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6" t="s">
        <v>12</v>
      </c>
      <c r="C11" s="8">
        <f ca="1">HOUR(C9)</f>
        <v>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6" t="s">
        <v>13</v>
      </c>
      <c r="C13" s="14" t="s">
        <v>32</v>
      </c>
      <c r="D13" s="14" t="s">
        <v>33</v>
      </c>
      <c r="E13" s="14" t="s">
        <v>34</v>
      </c>
      <c r="F13" s="14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6"/>
      <c r="C14" s="8">
        <v>10</v>
      </c>
      <c r="D14" s="8">
        <v>34</v>
      </c>
      <c r="E14" s="8">
        <v>59</v>
      </c>
      <c r="F14" s="15">
        <f>TIME(C14,D14,56)</f>
        <v>0.44092592592592594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6" t="s">
        <v>14</v>
      </c>
      <c r="C16" s="14" t="s">
        <v>36</v>
      </c>
      <c r="D16" s="14" t="s">
        <v>37</v>
      </c>
      <c r="E16" s="14" t="s">
        <v>38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6"/>
      <c r="C17" s="15">
        <v>0.41666666666666669</v>
      </c>
      <c r="D17" s="15">
        <v>0.58333333333333337</v>
      </c>
      <c r="E17" s="8" t="str">
        <f>TEXT(D17-C17,"h:mm")</f>
        <v>4:00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6" t="s">
        <v>15</v>
      </c>
      <c r="C19" s="14" t="s">
        <v>33</v>
      </c>
      <c r="D19" s="14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6"/>
      <c r="C20" s="8">
        <f>MINUTE(F14)</f>
        <v>34</v>
      </c>
      <c r="D20" s="8">
        <f>SECOND(F14)</f>
        <v>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6" sqref="F16"/>
    </sheetView>
  </sheetViews>
  <sheetFormatPr defaultColWidth="14.44140625" defaultRowHeight="15" customHeight="1" x14ac:dyDescent="0.3"/>
  <cols>
    <col min="1" max="1" width="8.6640625" customWidth="1"/>
    <col min="2" max="2" width="75.109375" customWidth="1"/>
    <col min="3" max="3" width="8.6640625" customWidth="1"/>
    <col min="4" max="4" width="13.109375" bestFit="1" customWidth="1"/>
    <col min="5" max="5" width="11.77734375" customWidth="1"/>
    <col min="6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6" t="s">
        <v>16</v>
      </c>
      <c r="C9" s="8">
        <f>ROUND(123.456,1)</f>
        <v>123.5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6" t="s">
        <v>17</v>
      </c>
      <c r="C11" s="14" t="s">
        <v>40</v>
      </c>
      <c r="D11" s="14" t="s">
        <v>41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6"/>
      <c r="C12" s="8">
        <f>CEILING(34,7)</f>
        <v>35</v>
      </c>
      <c r="D12" s="8">
        <f>FLOOR(C12,2)</f>
        <v>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6" t="s">
        <v>18</v>
      </c>
      <c r="C14" s="16" t="s">
        <v>42</v>
      </c>
      <c r="D14" s="14" t="s">
        <v>43</v>
      </c>
      <c r="E14" s="14" t="s">
        <v>44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6"/>
      <c r="C15" s="8">
        <v>10</v>
      </c>
      <c r="D15" s="8">
        <v>3</v>
      </c>
      <c r="E15" s="8">
        <f>MOD(C15,D15)</f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6" t="s">
        <v>19</v>
      </c>
      <c r="C17" s="14" t="s">
        <v>42</v>
      </c>
      <c r="D17" s="14" t="s">
        <v>45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6"/>
      <c r="C18" s="8">
        <v>36</v>
      </c>
      <c r="D18" s="8">
        <f>SQRT(C18)</f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6" t="s">
        <v>20</v>
      </c>
      <c r="C20" s="14" t="s">
        <v>42</v>
      </c>
      <c r="D20" s="14" t="s">
        <v>46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6"/>
      <c r="C21" s="8">
        <v>-15</v>
      </c>
      <c r="D21" s="8">
        <f>ABS(C21)</f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Normal="100" workbookViewId="0">
      <selection activeCell="D3" sqref="D3"/>
    </sheetView>
  </sheetViews>
  <sheetFormatPr defaultColWidth="17.21875" defaultRowHeight="14.4" x14ac:dyDescent="0.3"/>
  <cols>
    <col min="1" max="1" width="4.77734375" bestFit="1" customWidth="1"/>
    <col min="2" max="2" width="70.109375" bestFit="1" customWidth="1"/>
    <col min="3" max="3" width="16.88671875" bestFit="1" customWidth="1"/>
    <col min="4" max="4" width="10.88671875" bestFit="1" customWidth="1"/>
    <col min="5" max="5" width="9.88671875" bestFit="1" customWidth="1"/>
    <col min="6" max="6" width="4" bestFit="1" customWidth="1"/>
    <col min="7" max="7" width="3" bestFit="1" customWidth="1"/>
    <col min="8" max="8" width="13.21875" bestFit="1" customWidth="1"/>
    <col min="9" max="9" width="10.44140625" bestFit="1" customWidth="1"/>
    <col min="10" max="10" width="5.109375" bestFit="1" customWidth="1"/>
    <col min="11" max="11" width="8.33203125" bestFit="1" customWidth="1"/>
    <col min="12" max="12" width="5.21875" bestFit="1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G1" s="19" t="s">
        <v>26</v>
      </c>
      <c r="H1" s="19" t="s">
        <v>47</v>
      </c>
      <c r="I1" s="19" t="s">
        <v>48</v>
      </c>
      <c r="J1" s="19" t="s">
        <v>49</v>
      </c>
      <c r="K1" s="19" t="s">
        <v>50</v>
      </c>
      <c r="L1" s="19" t="s">
        <v>51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17" t="s">
        <v>76</v>
      </c>
      <c r="C2" s="2"/>
      <c r="D2" s="2"/>
      <c r="E2" s="2"/>
      <c r="G2" s="20">
        <v>1</v>
      </c>
      <c r="H2" s="20" t="s">
        <v>52</v>
      </c>
      <c r="I2" s="20" t="s">
        <v>53</v>
      </c>
      <c r="J2" s="20">
        <v>750</v>
      </c>
      <c r="K2" s="20">
        <v>2</v>
      </c>
      <c r="L2" s="20">
        <v>1500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22</v>
      </c>
      <c r="C3" s="2"/>
      <c r="D3" s="2"/>
      <c r="E3" s="2"/>
      <c r="G3" s="20">
        <v>2</v>
      </c>
      <c r="H3" s="20" t="s">
        <v>54</v>
      </c>
      <c r="I3" s="20" t="s">
        <v>53</v>
      </c>
      <c r="J3" s="20">
        <v>80</v>
      </c>
      <c r="K3" s="20">
        <v>5</v>
      </c>
      <c r="L3" s="20">
        <v>400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23</v>
      </c>
      <c r="C4" s="2"/>
      <c r="D4" s="2"/>
      <c r="E4" s="2"/>
      <c r="G4" s="20">
        <v>3</v>
      </c>
      <c r="H4" s="20" t="s">
        <v>55</v>
      </c>
      <c r="I4" s="20" t="s">
        <v>56</v>
      </c>
      <c r="J4" s="20">
        <v>40</v>
      </c>
      <c r="K4" s="20">
        <v>3</v>
      </c>
      <c r="L4" s="20">
        <v>120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24</v>
      </c>
      <c r="C5" s="2"/>
      <c r="D5" s="2"/>
      <c r="E5" s="2"/>
      <c r="G5" s="20">
        <v>4</v>
      </c>
      <c r="H5" s="20" t="s">
        <v>57</v>
      </c>
      <c r="I5" s="20" t="s">
        <v>56</v>
      </c>
      <c r="J5" s="20">
        <v>60</v>
      </c>
      <c r="K5" s="20">
        <v>2</v>
      </c>
      <c r="L5" s="20">
        <v>120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4" t="s">
        <v>25</v>
      </c>
      <c r="C6" s="2"/>
      <c r="D6" s="2"/>
      <c r="E6" s="2"/>
      <c r="G6" s="20">
        <v>5</v>
      </c>
      <c r="H6" s="20" t="s">
        <v>58</v>
      </c>
      <c r="I6" s="20" t="s">
        <v>53</v>
      </c>
      <c r="J6" s="20">
        <v>500</v>
      </c>
      <c r="K6" s="20">
        <v>4</v>
      </c>
      <c r="L6" s="20">
        <v>2000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5"/>
      <c r="C7" s="2"/>
      <c r="D7" s="2"/>
      <c r="E7" s="2"/>
      <c r="G7" s="20">
        <v>6</v>
      </c>
      <c r="H7" s="20" t="s">
        <v>59</v>
      </c>
      <c r="I7" s="20" t="s">
        <v>60</v>
      </c>
      <c r="J7" s="20">
        <v>120</v>
      </c>
      <c r="K7" s="20">
        <v>1</v>
      </c>
      <c r="L7" s="20">
        <v>120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6" t="s">
        <v>21</v>
      </c>
      <c r="C8" s="8" cm="1">
        <f t="array" ref="C8:C12">_xlfn._xlws.FILTER(J2:J21,J2:J21&gt;150)</f>
        <v>750</v>
      </c>
      <c r="D8" s="2"/>
      <c r="E8" s="2"/>
      <c r="G8" s="20">
        <v>7</v>
      </c>
      <c r="H8" s="20" t="s">
        <v>61</v>
      </c>
      <c r="I8" s="20" t="s">
        <v>62</v>
      </c>
      <c r="J8" s="20">
        <v>90</v>
      </c>
      <c r="K8" s="20">
        <v>2</v>
      </c>
      <c r="L8" s="20">
        <v>180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6"/>
      <c r="C9" s="8">
        <v>500</v>
      </c>
      <c r="D9" s="2"/>
      <c r="E9" s="2"/>
      <c r="G9" s="20">
        <v>8</v>
      </c>
      <c r="H9" s="20" t="s">
        <v>63</v>
      </c>
      <c r="I9" s="20" t="s">
        <v>62</v>
      </c>
      <c r="J9" s="20">
        <v>30</v>
      </c>
      <c r="K9" s="20">
        <v>3</v>
      </c>
      <c r="L9" s="20">
        <v>90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6"/>
      <c r="C10" s="8">
        <v>300</v>
      </c>
      <c r="D10" s="2"/>
      <c r="E10" s="2"/>
      <c r="G10" s="20">
        <v>9</v>
      </c>
      <c r="H10" s="20" t="s">
        <v>64</v>
      </c>
      <c r="I10" s="20" t="s">
        <v>53</v>
      </c>
      <c r="J10" s="20">
        <v>300</v>
      </c>
      <c r="K10" s="20">
        <v>2</v>
      </c>
      <c r="L10" s="20">
        <v>600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6"/>
      <c r="C11" s="8">
        <v>200</v>
      </c>
      <c r="D11" s="2"/>
      <c r="E11" s="2"/>
      <c r="G11" s="20">
        <v>10</v>
      </c>
      <c r="H11" s="20" t="s">
        <v>65</v>
      </c>
      <c r="I11" s="20" t="s">
        <v>56</v>
      </c>
      <c r="J11" s="20">
        <v>150</v>
      </c>
      <c r="K11" s="20">
        <v>1</v>
      </c>
      <c r="L11" s="20">
        <v>150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6"/>
      <c r="C12" s="8">
        <v>180</v>
      </c>
      <c r="D12" s="2"/>
      <c r="E12" s="2"/>
      <c r="G12" s="20">
        <v>11</v>
      </c>
      <c r="H12" s="20" t="s">
        <v>66</v>
      </c>
      <c r="I12" s="20" t="s">
        <v>60</v>
      </c>
      <c r="J12" s="20">
        <v>70</v>
      </c>
      <c r="K12" s="20">
        <v>2</v>
      </c>
      <c r="L12" s="20">
        <v>140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D13" s="2"/>
      <c r="E13" s="2"/>
      <c r="G13" s="20">
        <v>12</v>
      </c>
      <c r="H13" s="20" t="s">
        <v>67</v>
      </c>
      <c r="I13" s="20" t="s">
        <v>60</v>
      </c>
      <c r="J13" s="20">
        <v>50</v>
      </c>
      <c r="K13" s="20">
        <v>4</v>
      </c>
      <c r="L13" s="20">
        <v>200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6" t="s">
        <v>22</v>
      </c>
      <c r="C14" s="14" t="s">
        <v>77</v>
      </c>
      <c r="D14" s="14" t="s">
        <v>38</v>
      </c>
      <c r="G14" s="20">
        <v>13</v>
      </c>
      <c r="H14" s="20" t="s">
        <v>68</v>
      </c>
      <c r="I14" s="20" t="s">
        <v>53</v>
      </c>
      <c r="J14" s="20">
        <v>200</v>
      </c>
      <c r="K14" s="20">
        <v>2</v>
      </c>
      <c r="L14" s="20">
        <v>400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6"/>
      <c r="C15" s="8">
        <v>1000</v>
      </c>
      <c r="D15" s="8" cm="1">
        <f t="array" ref="D15:D16">_xlfn._xlws.FILTER(L2:L21,L2:L21&gt;1000)</f>
        <v>1500</v>
      </c>
      <c r="G15" s="20">
        <v>14</v>
      </c>
      <c r="H15" s="20" t="s">
        <v>69</v>
      </c>
      <c r="I15" s="20" t="s">
        <v>53</v>
      </c>
      <c r="J15" s="20">
        <v>40</v>
      </c>
      <c r="K15" s="20">
        <v>3</v>
      </c>
      <c r="L15" s="20">
        <v>120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6"/>
      <c r="C16" s="8"/>
      <c r="D16" s="8">
        <v>2000</v>
      </c>
      <c r="G16" s="20">
        <v>15</v>
      </c>
      <c r="H16" s="20" t="s">
        <v>70</v>
      </c>
      <c r="I16" s="20" t="s">
        <v>53</v>
      </c>
      <c r="J16" s="20">
        <v>25</v>
      </c>
      <c r="K16" s="20">
        <v>5</v>
      </c>
      <c r="L16" s="20">
        <v>125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5"/>
      <c r="C17" s="2"/>
      <c r="D17" s="2"/>
      <c r="E17" s="2"/>
      <c r="G17" s="20">
        <v>16</v>
      </c>
      <c r="H17" s="20" t="s">
        <v>71</v>
      </c>
      <c r="I17" s="20" t="s">
        <v>56</v>
      </c>
      <c r="J17" s="20">
        <v>20</v>
      </c>
      <c r="K17" s="20">
        <v>6</v>
      </c>
      <c r="L17" s="20">
        <v>120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6" t="s">
        <v>23</v>
      </c>
      <c r="C18" s="14" t="s">
        <v>78</v>
      </c>
      <c r="D18" s="14" t="s">
        <v>38</v>
      </c>
      <c r="E18" s="18"/>
      <c r="G18" s="20">
        <v>17</v>
      </c>
      <c r="H18" s="20" t="s">
        <v>72</v>
      </c>
      <c r="I18" s="20" t="s">
        <v>62</v>
      </c>
      <c r="J18" s="20">
        <v>110</v>
      </c>
      <c r="K18" s="20">
        <v>1</v>
      </c>
      <c r="L18" s="20">
        <v>110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6"/>
      <c r="C19" s="14" t="s">
        <v>79</v>
      </c>
      <c r="D19" s="8" t="str" cm="1">
        <f t="array" ref="D19:E22">_xlfn._xlws.FILTER(H2:I21,I2:I21="Clothing")</f>
        <v>Shirt</v>
      </c>
      <c r="E19" s="18" t="str">
        <v>Clothing</v>
      </c>
      <c r="G19" s="20">
        <v>18</v>
      </c>
      <c r="H19" s="20" t="s">
        <v>73</v>
      </c>
      <c r="I19" s="20" t="s">
        <v>60</v>
      </c>
      <c r="J19" s="20">
        <v>15</v>
      </c>
      <c r="K19" s="20">
        <v>4</v>
      </c>
      <c r="L19" s="20">
        <v>60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6"/>
      <c r="C20" s="8"/>
      <c r="D20" s="8" t="str">
        <v>Jeans</v>
      </c>
      <c r="E20" s="18" t="str">
        <v>Clothing</v>
      </c>
      <c r="G20" s="20">
        <v>19</v>
      </c>
      <c r="H20" s="20" t="s">
        <v>74</v>
      </c>
      <c r="I20" s="20" t="s">
        <v>53</v>
      </c>
      <c r="J20" s="20">
        <v>180</v>
      </c>
      <c r="K20" s="20">
        <v>1</v>
      </c>
      <c r="L20" s="20">
        <v>180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6"/>
      <c r="C21" s="8"/>
      <c r="D21" s="8" t="str">
        <v>Jacket</v>
      </c>
      <c r="E21" s="18" t="str">
        <v>Clothing</v>
      </c>
      <c r="G21" s="20">
        <v>20</v>
      </c>
      <c r="H21" s="20" t="s">
        <v>75</v>
      </c>
      <c r="I21" s="20" t="s">
        <v>53</v>
      </c>
      <c r="J21" s="20">
        <v>130</v>
      </c>
      <c r="K21" s="20">
        <v>2</v>
      </c>
      <c r="L21" s="20">
        <v>260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6"/>
      <c r="C22" s="8"/>
      <c r="D22" s="8" t="str">
        <v>T-shirt</v>
      </c>
      <c r="E22" s="8" t="str">
        <v>Clothing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6" t="s">
        <v>24</v>
      </c>
      <c r="C24" s="14" t="s">
        <v>80</v>
      </c>
      <c r="D24" s="14" t="s">
        <v>38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6"/>
      <c r="C25" s="14" t="s">
        <v>81</v>
      </c>
      <c r="D25" s="8" cm="1">
        <f t="array" ref="D25:D27">_xlfn._xlws.SORT(_xlfn._xlws.FILTER(K2:K21,K2:K21&gt;4))</f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6"/>
      <c r="C26" s="8"/>
      <c r="D26" s="8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6"/>
      <c r="C27" s="8"/>
      <c r="D27" s="8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6" t="s">
        <v>25</v>
      </c>
      <c r="C29" s="8" cm="1">
        <f t="array" ref="C29:H34">_xlfn._xlws.FILTER(G2:L21,(J2:J21&gt;100)*(I2:I21="Electronics"))</f>
        <v>1</v>
      </c>
      <c r="D29" s="8" t="str">
        <v>Laptop</v>
      </c>
      <c r="E29" s="8" t="str">
        <v>Electronics</v>
      </c>
      <c r="F29" s="8">
        <v>750</v>
      </c>
      <c r="G29" s="8">
        <v>2</v>
      </c>
      <c r="H29" s="8">
        <v>1500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6"/>
      <c r="C30" s="8">
        <v>5</v>
      </c>
      <c r="D30" s="8" t="str">
        <v>Smartphone</v>
      </c>
      <c r="E30" s="8" t="str">
        <v>Electronics</v>
      </c>
      <c r="F30" s="8">
        <v>500</v>
      </c>
      <c r="G30" s="8">
        <v>4</v>
      </c>
      <c r="H30" s="8">
        <v>2000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6"/>
      <c r="C31" s="8">
        <v>9</v>
      </c>
      <c r="D31" s="8" t="str">
        <v>Tablet</v>
      </c>
      <c r="E31" s="8" t="str">
        <v>Electronics</v>
      </c>
      <c r="F31" s="8">
        <v>300</v>
      </c>
      <c r="G31" s="8">
        <v>2</v>
      </c>
      <c r="H31" s="8">
        <v>600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6"/>
      <c r="C32" s="8">
        <v>13</v>
      </c>
      <c r="D32" s="8" t="str">
        <v>Monitor</v>
      </c>
      <c r="E32" s="8" t="str">
        <v>Electronics</v>
      </c>
      <c r="F32" s="8">
        <v>200</v>
      </c>
      <c r="G32" s="8">
        <v>2</v>
      </c>
      <c r="H32" s="8">
        <v>400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6"/>
      <c r="C33" s="8">
        <v>19</v>
      </c>
      <c r="D33" s="8" t="str">
        <v>Printer</v>
      </c>
      <c r="E33" s="8" t="str">
        <v>Electronics</v>
      </c>
      <c r="F33" s="8">
        <v>180</v>
      </c>
      <c r="G33" s="8">
        <v>1</v>
      </c>
      <c r="H33" s="8">
        <v>180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6"/>
      <c r="C34" s="8">
        <v>20</v>
      </c>
      <c r="D34" s="8" t="str">
        <v>Speaker</v>
      </c>
      <c r="E34" s="8" t="str">
        <v>Electronics</v>
      </c>
      <c r="F34" s="8">
        <v>130</v>
      </c>
      <c r="G34" s="8">
        <v>2</v>
      </c>
      <c r="H34" s="8">
        <v>260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 Functions</vt:lpstr>
      <vt:lpstr>Time Functions</vt:lpstr>
      <vt:lpstr>Math Functions</vt:lpstr>
      <vt:lpstr>Filter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2026-04-19T11:08:56Z</dcterms:modified>
</cp:coreProperties>
</file>