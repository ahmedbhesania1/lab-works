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6bd11af68ae4c0ef/Desktop/Lab  work/"/>
    </mc:Choice>
  </mc:AlternateContent>
  <xr:revisionPtr revIDLastSave="139" documentId="11_1A2CCC5DF435953594A1FC7351CC1A2372C3D345" xr6:coauthVersionLast="47" xr6:coauthVersionMax="47" xr10:uidLastSave="{34634450-F0CD-4C99-9B77-74977A80AC7B}"/>
  <bookViews>
    <workbookView xWindow="-108" yWindow="-108" windowWidth="23256" windowHeight="12456" firstSheet="5" activeTab="6" xr2:uid="{00000000-000D-0000-FFFF-FFFF00000000}"/>
  </bookViews>
  <sheets>
    <sheet name="Tasks - 1" sheetId="1" r:id="rId1"/>
    <sheet name="pivot 1" sheetId="6" r:id="rId2"/>
    <sheet name="pivot 2" sheetId="7" r:id="rId3"/>
    <sheet name="Sales Data (For Tasks-1)" sheetId="2" r:id="rId4"/>
    <sheet name="Employee Data (For Tasks-1)" sheetId="3" r:id="rId5"/>
    <sheet name="Tasks - 2" sheetId="4" r:id="rId6"/>
    <sheet name="pivot 3" sheetId="8" r:id="rId7"/>
    <sheet name="Real Estate Listing Data (For T" sheetId="5" r:id="rId8"/>
  </sheets>
  <definedNames>
    <definedName name="Slicer_Department">#N/A</definedName>
    <definedName name="Slicer_Location">#N/A</definedName>
    <definedName name="Slicer_Product">#N/A</definedName>
    <definedName name="Slicer_Region">#N/A</definedName>
  </definedNames>
  <calcPr calcId="0"/>
  <pivotCaches>
    <pivotCache cacheId="9" r:id="rId9"/>
    <pivotCache cacheId="13" r:id="rId10"/>
    <pivotCache cacheId="2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<sst xmlns="http://schemas.openxmlformats.org/spreadsheetml/2006/main" count="1110" uniqueCount="395">
  <si>
    <t>Task</t>
  </si>
  <si>
    <t>Instructions</t>
  </si>
  <si>
    <t>1</t>
  </si>
  <si>
    <r>
      <rPr>
        <b/>
        <sz val="11"/>
        <color theme="1"/>
        <rFont val="Calibri"/>
      </rPr>
      <t>Sales Data:</t>
    </r>
    <r>
      <rPr>
        <sz val="11"/>
        <color theme="1"/>
        <rFont val="Calibri"/>
      </rPr>
      <t xml:space="preserve"> Create pivot tables by region, product, or date</t>
    </r>
  </si>
  <si>
    <t>2</t>
  </si>
  <si>
    <r>
      <rPr>
        <b/>
        <sz val="11"/>
        <color theme="1"/>
        <rFont val="Calibri"/>
      </rPr>
      <t>Sales Data:</t>
    </r>
    <r>
      <rPr>
        <sz val="11"/>
        <color theme="1"/>
        <rFont val="Calibri"/>
      </rPr>
      <t xml:space="preserve"> Analyze sales and quantity metrics</t>
    </r>
  </si>
  <si>
    <t>3</t>
  </si>
  <si>
    <r>
      <rPr>
        <b/>
        <sz val="11"/>
        <color theme="1"/>
        <rFont val="Calibri"/>
      </rPr>
      <t xml:space="preserve">Sales Data: </t>
    </r>
    <r>
      <rPr>
        <sz val="11"/>
        <color theme="1"/>
        <rFont val="Calibri"/>
      </rPr>
      <t>Build visual dashboards with charts and slicers</t>
    </r>
  </si>
  <si>
    <t>4</t>
  </si>
  <si>
    <r>
      <rPr>
        <b/>
        <sz val="11"/>
        <color theme="1"/>
        <rFont val="Calibri"/>
      </rPr>
      <t>Employee Data:</t>
    </r>
    <r>
      <rPr>
        <sz val="11"/>
        <color theme="1"/>
        <rFont val="Calibri"/>
      </rPr>
      <t xml:space="preserve"> Department Performance</t>
    </r>
  </si>
  <si>
    <t>5</t>
  </si>
  <si>
    <r>
      <rPr>
        <b/>
        <sz val="11"/>
        <color theme="1"/>
        <rFont val="Calibri"/>
      </rPr>
      <t>Employee Data:</t>
    </r>
    <r>
      <rPr>
        <sz val="11"/>
        <color theme="1"/>
        <rFont val="Calibri"/>
      </rPr>
      <t xml:space="preserve"> Top Performers</t>
    </r>
  </si>
  <si>
    <t>6</t>
  </si>
  <si>
    <r>
      <rPr>
        <b/>
        <sz val="11"/>
        <color theme="1"/>
        <rFont val="Calibri"/>
      </rPr>
      <t>Employee Data:</t>
    </r>
    <r>
      <rPr>
        <sz val="11"/>
        <color theme="1"/>
        <rFont val="Calibri"/>
      </rPr>
      <t xml:space="preserve"> Build visual dashboards with charts and slicers</t>
    </r>
  </si>
  <si>
    <t>Date</t>
  </si>
  <si>
    <t>Region</t>
  </si>
  <si>
    <t>Product</t>
  </si>
  <si>
    <t>Sales</t>
  </si>
  <si>
    <t>Quantity</t>
  </si>
  <si>
    <t>North</t>
  </si>
  <si>
    <t>Laptop</t>
  </si>
  <si>
    <t>South</t>
  </si>
  <si>
    <t>Tablet</t>
  </si>
  <si>
    <t>East</t>
  </si>
  <si>
    <t>Mobile</t>
  </si>
  <si>
    <t>`</t>
  </si>
  <si>
    <t>Employee_ID</t>
  </si>
  <si>
    <t>Department</t>
  </si>
  <si>
    <t>Performance_Score</t>
  </si>
  <si>
    <t>Projects_Completed</t>
  </si>
  <si>
    <t>Satisfaction_Score</t>
  </si>
  <si>
    <t>Training_Hours</t>
  </si>
  <si>
    <t>Years_Experience</t>
  </si>
  <si>
    <t>Attendance_Rate</t>
  </si>
  <si>
    <t>Productivity_Index</t>
  </si>
  <si>
    <t>EMP001</t>
  </si>
  <si>
    <t>Engineering</t>
  </si>
  <si>
    <t>EMP002</t>
  </si>
  <si>
    <t>EMP003</t>
  </si>
  <si>
    <t>Marketing</t>
  </si>
  <si>
    <t>EMP004</t>
  </si>
  <si>
    <t>Finance</t>
  </si>
  <si>
    <t>EMP005</t>
  </si>
  <si>
    <t>EMP006</t>
  </si>
  <si>
    <t>EMP007</t>
  </si>
  <si>
    <t>EMP008</t>
  </si>
  <si>
    <t>EMP009</t>
  </si>
  <si>
    <t>EMP010</t>
  </si>
  <si>
    <t>EMP011</t>
  </si>
  <si>
    <t>EMP012</t>
  </si>
  <si>
    <t>EMP013</t>
  </si>
  <si>
    <t>EMP014</t>
  </si>
  <si>
    <t>EMP015</t>
  </si>
  <si>
    <t>HR</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</si>
  <si>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</si>
  <si>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</si>
  <si>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</si>
  <si>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</si>
  <si>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</si>
  <si>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</si>
  <si>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</si>
  <si>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</si>
  <si>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</si>
  <si>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</si>
  <si>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</si>
  <si>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</si>
  <si>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</si>
  <si>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</si>
  <si>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</si>
  <si>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</si>
  <si>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</si>
  <si>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</si>
  <si>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</si>
  <si>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</si>
  <si>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</si>
  <si>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</si>
  <si>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</si>
  <si>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</si>
  <si>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</si>
  <si>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</si>
  <si>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</si>
  <si>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</si>
  <si>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</si>
  <si>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</si>
  <si>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</si>
  <si>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</si>
  <si>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</si>
  <si>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</si>
  <si>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</si>
  <si>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</si>
  <si>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</si>
  <si>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</si>
  <si>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</si>
  <si>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</si>
  <si>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</si>
  <si>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</si>
  <si>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</si>
  <si>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</si>
  <si>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</si>
  <si>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</si>
  <si>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</si>
  <si>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</si>
  <si>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</si>
  <si>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</si>
  <si>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</si>
  <si>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</si>
  <si>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</si>
  <si>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</si>
  <si>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</si>
  <si>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</si>
  <si>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</si>
  <si>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</si>
  <si>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</si>
  <si>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</si>
  <si>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</si>
  <si>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</si>
  <si>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</si>
  <si>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</si>
  <si>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</si>
  <si>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</si>
  <si>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</si>
  <si>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</si>
  <si>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</si>
  <si>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</si>
  <si>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</si>
  <si>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</si>
  <si>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</si>
  <si>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</si>
  <si>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</si>
  <si>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</si>
  <si>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</si>
  <si>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</si>
  <si>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</si>
  <si>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</si>
  <si>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</si>
  <si>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</si>
  <si>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</si>
  <si>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</si>
  <si>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</si>
  <si>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</si>
  <si>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</si>
  <si>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</si>
  <si>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</si>
  <si>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</si>
  <si>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</si>
  <si>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</si>
  <si>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</si>
  <si>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</si>
  <si>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</si>
  <si>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</si>
  <si>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</si>
  <si>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</si>
  <si>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</si>
  <si>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</si>
  <si>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</si>
  <si>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</si>
  <si>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</si>
  <si>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</si>
  <si>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</si>
  <si>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Challenges</t>
  </si>
  <si>
    <t>Price Analysis by Location</t>
  </si>
  <si>
    <t>Days on Market Impact</t>
  </si>
  <si>
    <t>Analyze average Price per SqFt for each Property Type</t>
  </si>
  <si>
    <t>Build visual dashboards with charts and slicers</t>
  </si>
  <si>
    <t>Listing_ID</t>
  </si>
  <si>
    <t>Property_Type</t>
  </si>
  <si>
    <t>Location</t>
  </si>
  <si>
    <t>Price</t>
  </si>
  <si>
    <t>Bedrooms</t>
  </si>
  <si>
    <t>Bathrooms</t>
  </si>
  <si>
    <t>Square_Feet</t>
  </si>
  <si>
    <t>Year_Built</t>
  </si>
  <si>
    <t>Days_on_Market</t>
  </si>
  <si>
    <t>Status</t>
  </si>
  <si>
    <t>Price_per_SqFt</t>
  </si>
  <si>
    <t>Lot_Size</t>
  </si>
  <si>
    <t>Garage_Spaces</t>
  </si>
  <si>
    <t>List_Date</t>
  </si>
  <si>
    <t>LST0001</t>
  </si>
  <si>
    <t>Multi Family</t>
  </si>
  <si>
    <t>Suburbs</t>
  </si>
  <si>
    <t>Under Contract</t>
  </si>
  <si>
    <t>LST0002</t>
  </si>
  <si>
    <t>Waterfront</t>
  </si>
  <si>
    <t>Active</t>
  </si>
  <si>
    <t>LST0003</t>
  </si>
  <si>
    <t>Condo</t>
  </si>
  <si>
    <t>Sold</t>
  </si>
  <si>
    <t>LST0004</t>
  </si>
  <si>
    <t>Downtown</t>
  </si>
  <si>
    <t>LST0005</t>
  </si>
  <si>
    <t>LST0006</t>
  </si>
  <si>
    <t>Townhouse</t>
  </si>
  <si>
    <t>Rural</t>
  </si>
  <si>
    <t>LST0007</t>
  </si>
  <si>
    <t>LST0008</t>
  </si>
  <si>
    <t>LST0009</t>
  </si>
  <si>
    <t>Single Family</t>
  </si>
  <si>
    <t>LST0010</t>
  </si>
  <si>
    <t>LST0011</t>
  </si>
  <si>
    <t>LST0012</t>
  </si>
  <si>
    <t>LST0013</t>
  </si>
  <si>
    <t>LST0014</t>
  </si>
  <si>
    <t>LST0015</t>
  </si>
  <si>
    <t>LST0016</t>
  </si>
  <si>
    <t>LST0017</t>
  </si>
  <si>
    <t>LST0018</t>
  </si>
  <si>
    <t>LST0019</t>
  </si>
  <si>
    <t>LST0020</t>
  </si>
  <si>
    <t>LST0021</t>
  </si>
  <si>
    <t>LST0022</t>
  </si>
  <si>
    <t>LST0023</t>
  </si>
  <si>
    <t>LST0024</t>
  </si>
  <si>
    <t>Urban</t>
  </si>
  <si>
    <t>LST0025</t>
  </si>
  <si>
    <t>LST0026</t>
  </si>
  <si>
    <t>LST0027</t>
  </si>
  <si>
    <t>LST0028</t>
  </si>
  <si>
    <t>LST0029</t>
  </si>
  <si>
    <t>LST0030</t>
  </si>
  <si>
    <t>LST0031</t>
  </si>
  <si>
    <t>LST0032</t>
  </si>
  <si>
    <t>LST0033</t>
  </si>
  <si>
    <t>LST0034</t>
  </si>
  <si>
    <t>LST0035</t>
  </si>
  <si>
    <t>LST0036</t>
  </si>
  <si>
    <t>LST0037</t>
  </si>
  <si>
    <t>LST0038</t>
  </si>
  <si>
    <t>LST0039</t>
  </si>
  <si>
    <t>LST0040</t>
  </si>
  <si>
    <t>LST0041</t>
  </si>
  <si>
    <t>LST0042</t>
  </si>
  <si>
    <t>LST0043</t>
  </si>
  <si>
    <t>LST0044</t>
  </si>
  <si>
    <t>LST0045</t>
  </si>
  <si>
    <t>LST0046</t>
  </si>
  <si>
    <t>LST0047</t>
  </si>
  <si>
    <t>LST0048</t>
  </si>
  <si>
    <t>LST0049</t>
  </si>
  <si>
    <t>LST0050</t>
  </si>
  <si>
    <t>LST0051</t>
  </si>
  <si>
    <t>LST0052</t>
  </si>
  <si>
    <t>LST0053</t>
  </si>
  <si>
    <t>LST0054</t>
  </si>
  <si>
    <t>LST0055</t>
  </si>
  <si>
    <t>LST0056</t>
  </si>
  <si>
    <t>LST0057</t>
  </si>
  <si>
    <t>LST0058</t>
  </si>
  <si>
    <t>LST0059</t>
  </si>
  <si>
    <t>LST0060</t>
  </si>
  <si>
    <t>LST0061</t>
  </si>
  <si>
    <t>LST0062</t>
  </si>
  <si>
    <t>LST0063</t>
  </si>
  <si>
    <t>LST0064</t>
  </si>
  <si>
    <t>LST0065</t>
  </si>
  <si>
    <t>LST0066</t>
  </si>
  <si>
    <t>LST0067</t>
  </si>
  <si>
    <t>LST0068</t>
  </si>
  <si>
    <t>LST0069</t>
  </si>
  <si>
    <t>LST0070</t>
  </si>
  <si>
    <t>LST0071</t>
  </si>
  <si>
    <t>LST0072</t>
  </si>
  <si>
    <t>LST0073</t>
  </si>
  <si>
    <t>LST0074</t>
  </si>
  <si>
    <t>LST0075</t>
  </si>
  <si>
    <t>LST0076</t>
  </si>
  <si>
    <t>LST0077</t>
  </si>
  <si>
    <t>LST0078</t>
  </si>
  <si>
    <t>LST0079</t>
  </si>
  <si>
    <t>LST0080</t>
  </si>
  <si>
    <t>LST0081</t>
  </si>
  <si>
    <t>LST0082</t>
  </si>
  <si>
    <t>LST0083</t>
  </si>
  <si>
    <t>LST0084</t>
  </si>
  <si>
    <t>LST0085</t>
  </si>
  <si>
    <t>LST0086</t>
  </si>
  <si>
    <t>LST0087</t>
  </si>
  <si>
    <t>LST0088</t>
  </si>
  <si>
    <t>LST0089</t>
  </si>
  <si>
    <t>LST0090</t>
  </si>
  <si>
    <t>LST0091</t>
  </si>
  <si>
    <t>LST0092</t>
  </si>
  <si>
    <t>LST0093</t>
  </si>
  <si>
    <t>LST0094</t>
  </si>
  <si>
    <t>LST0095</t>
  </si>
  <si>
    <t>LST0096</t>
  </si>
  <si>
    <t>LST0097</t>
  </si>
  <si>
    <t>LST0098</t>
  </si>
  <si>
    <t>LST0099</t>
  </si>
  <si>
    <t>LST0100</t>
  </si>
  <si>
    <t>LST0101</t>
  </si>
  <si>
    <t>LST0102</t>
  </si>
  <si>
    <t>LST0103</t>
  </si>
  <si>
    <t>LST0104</t>
  </si>
  <si>
    <t>LST0105</t>
  </si>
  <si>
    <t>LST0106</t>
  </si>
  <si>
    <t>LST0107</t>
  </si>
  <si>
    <t>LST0108</t>
  </si>
  <si>
    <t>LST0109</t>
  </si>
  <si>
    <t>LST0110</t>
  </si>
  <si>
    <t>LST0111</t>
  </si>
  <si>
    <t>LST0112</t>
  </si>
  <si>
    <t>LST0113</t>
  </si>
  <si>
    <t>LST0114</t>
  </si>
  <si>
    <t>LST0115</t>
  </si>
  <si>
    <t>LST0116</t>
  </si>
  <si>
    <t>LST0117</t>
  </si>
  <si>
    <t>LST0118</t>
  </si>
  <si>
    <t>LST0119</t>
  </si>
  <si>
    <t>LST0120</t>
  </si>
  <si>
    <t>LST0121</t>
  </si>
  <si>
    <t>LST0122</t>
  </si>
  <si>
    <t>LST0123</t>
  </si>
  <si>
    <t>LST0124</t>
  </si>
  <si>
    <t>LST0125</t>
  </si>
  <si>
    <t>LST0126</t>
  </si>
  <si>
    <t>LST0127</t>
  </si>
  <si>
    <t>LST0128</t>
  </si>
  <si>
    <t>LST0129</t>
  </si>
  <si>
    <t>LST0130</t>
  </si>
  <si>
    <t>Row Labels</t>
  </si>
  <si>
    <t>Grand Total</t>
  </si>
  <si>
    <t>Column Labels</t>
  </si>
  <si>
    <t>Sum of Sales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</si>
  <si>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</si>
  <si>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</si>
  <si>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</si>
  <si>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</si>
  <si>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</si>
  <si>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</si>
  <si>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</si>
  <si>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</si>
  <si>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</si>
  <si>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</si>
  <si>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</si>
  <si>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</si>
  <si>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</si>
  <si>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</si>
  <si>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</si>
  <si>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</si>
  <si>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</si>
  <si>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</si>
  <si>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</si>
  <si>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</si>
  <si>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</si>
  <si>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</si>
  <si>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</si>
  <si>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</si>
  <si>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</si>
  <si>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</si>
  <si>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</si>
  <si>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</si>
  <si>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</si>
  <si>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</si>
  <si>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Sum of Quantity</t>
  </si>
  <si>
    <t>(blank)</t>
  </si>
  <si>
    <t>Sum of Performance_Score</t>
  </si>
  <si>
    <t>Sum of Price</t>
  </si>
  <si>
    <t>Sum of Days_on_Market</t>
  </si>
  <si>
    <t>250000-349999</t>
  </si>
  <si>
    <t>350000-449999</t>
  </si>
  <si>
    <t>450000-549999</t>
  </si>
  <si>
    <t>550000-649999</t>
  </si>
  <si>
    <t>650000-749999</t>
  </si>
  <si>
    <t>750000-849999</t>
  </si>
  <si>
    <t>850000-949999</t>
  </si>
  <si>
    <t>Average of Price</t>
  </si>
  <si>
    <t>1000-1099</t>
  </si>
  <si>
    <t>1100-1199</t>
  </si>
  <si>
    <t>1200-1299</t>
  </si>
  <si>
    <t>1300-1399</t>
  </si>
  <si>
    <t>1400-1499</t>
  </si>
  <si>
    <t>1500-1599</t>
  </si>
  <si>
    <t>1600-1699</t>
  </si>
  <si>
    <t>1700-1799</t>
  </si>
  <si>
    <t>1800-1899</t>
  </si>
  <si>
    <t>1900-1999</t>
  </si>
  <si>
    <t>2000-2099</t>
  </si>
  <si>
    <t>2100-2199</t>
  </si>
  <si>
    <t>2200-2299</t>
  </si>
  <si>
    <t>2300-2399</t>
  </si>
  <si>
    <t>2400-2499</t>
  </si>
  <si>
    <t>2500-2599</t>
  </si>
  <si>
    <t>2600-2699</t>
  </si>
  <si>
    <t>2700-2799</t>
  </si>
  <si>
    <t>2800-2899</t>
  </si>
  <si>
    <t>2900-2999</t>
  </si>
  <si>
    <t>3000-3099</t>
  </si>
  <si>
    <t>3100-3199</t>
  </si>
  <si>
    <t>3200-3299</t>
  </si>
  <si>
    <t>3300-3399</t>
  </si>
  <si>
    <t>3400-3499</t>
  </si>
  <si>
    <t>3500-3599</t>
  </si>
  <si>
    <t>Sqft</t>
  </si>
  <si>
    <t>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</si>
</sst>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7" x14ac:knownFonts="1">
    <font>
      <sz val="11"/>
      <color theme="1"/>
      <name val="Calibri"/>
      <scheme val="minor"/>
    </font>
    <font>
      <b/>
      <sz val="11"/>
      <color theme="1"/>
      <name val="Calibri"/>
      <scheme val="minor"/>
    </font>
    <font>
      <sz val="11"/>
      <color theme="1"/>
      <name val="Calibri"/>
      <scheme val="minor"/>
    </font>
    <font>
      <b/>
      <sz val="11"/>
      <color rgb="FF000000"/>
      <name val="Calibri"/>
    </font>
    <font>
      <sz val="11"/>
      <color rgb="FF000000"/>
      <name val="Calibri"/>
    </font>
    <font>
      <b/>
      <sz val="11"/>
      <color theme="1"/>
      <name val="Calibri"/>
    </font>
    <font>
      <sz val="11"/>
      <color theme="1"/>
      <name val="Calibri"/>
    </font>
  </fonts>
  <fills count="4">
    <fill>
      <patternFill patternType="none"/>
    </fill>
    <fill>
      <patternFill patternType="gray125"/>
    </fill>
    <fill>
      <patternFill patternType="solid">
        <fgColor rgb="FFFFF2CC"/>
        <bgColor rgb="FFFFF2CC"/>
      </patternFill>
    </fill>
    <fill>
      <patternFill patternType="solid">
        <fgColor theme="9"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3" fillId="0" borderId="0" xfId="0" applyFont="1"/>
    <xf numFmtId="164" fontId="4" fillId="0" borderId="0" xfId="0" applyNumberFormat="1" applyFont="1" applyAlignment="1">
      <alignment horizontal="right"/>
    </xf>
    <xf numFmtId="0" fontId="4" fillId="0" borderId="0" xfId="0" applyFont="1"/>
    <xf numFmtId="0" fontId="4" fillId="0" borderId="0" xfId="0" applyFont="1" applyAlignment="1">
      <alignment horizontal="right"/>
    </xf>
    <xf numFmtId="0" fontId="2" fillId="0" borderId="0" xfId="0" applyFont="1"/>
    <xf numFmtId="0" fontId="1" fillId="0" borderId="0" xfId="0" applyFont="1"/>
    <xf numFmtId="0" fontId="5" fillId="2" borderId="1" xfId="0" applyFont="1" applyFill="1" applyBorder="1" applyAlignment="1">
      <alignment horizontal="center"/>
    </xf>
    <xf numFmtId="0" fontId="6" fillId="0" borderId="1" xfId="0" applyFont="1" applyBorder="1" applyAlignment="1">
      <alignment horizontal="center"/>
    </xf>
    <xf numFmtId="0" fontId="6" fillId="0" borderId="1" xfId="0" applyFont="1" applyBorder="1"/>
    <xf numFmtId="0" fontId="5" fillId="0" borderId="0" xfId="0" applyFont="1"/>
    <xf numFmtId="0" fontId="6" fillId="0" borderId="0" xfId="0" applyFont="1"/>
    <xf numFmtId="0" fontId="6" fillId="0" borderId="0" xfId="0" applyFont="1" applyAlignment="1">
      <alignment horizontal="right"/>
    </xf>
    <xf numFmtId="165" fontId="6" fillId="0" borderId="0" xfId="0" applyNumberFormat="1" applyFont="1" applyAlignment="1">
      <alignment horizontal="righ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2" fillId="3" borderId="11" xfId="0" applyFont="1"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4.1 _ Excel - AI_ML - DA_DS.xlsx]pivot 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1'!$A$4:$A$7</c:f>
              <c:strCache>
                <c:ptCount val="3"/>
                <c:pt idx="0">
                  <c:v>East</c:v>
                </c:pt>
                <c:pt idx="1">
                  <c:v>North</c:v>
                </c:pt>
                <c:pt idx="2">
                  <c:v>South</c:v>
                </c:pt>
              </c:strCache>
            </c:strRef>
          </c:cat>
          <c:val>
            <c:numRef>
              <c:f>'pivot 1'!$B$4:$B$7</c:f>
              <c:numCache>
                <c:formatCode>General</c:formatCode>
                <c:ptCount val="3"/>
                <c:pt idx="0">
                  <c:v>17718</c:v>
                </c:pt>
                <c:pt idx="1">
                  <c:v>15228</c:v>
                </c:pt>
                <c:pt idx="2">
                  <c:v>18219</c:v>
                </c:pt>
              </c:numCache>
            </c:numRef>
          </c:val>
          <c:extLst>
            <c:ext xmlns:c16="http://schemas.microsoft.com/office/drawing/2014/chart" uri="{C3380CC4-5D6E-409C-BE32-E72D297353CC}">
              <c16:uniqueId val="{00000000-69AF-41BC-8D7C-8234753CC359}"/>
            </c:ext>
          </c:extLst>
        </c:ser>
        <c:dLbls>
          <c:showLegendKey val="0"/>
          <c:showVal val="0"/>
          <c:showCatName val="0"/>
          <c:showSerName val="0"/>
          <c:showPercent val="0"/>
          <c:showBubbleSize val="0"/>
        </c:dLbls>
        <c:gapWidth val="219"/>
        <c:overlap val="-27"/>
        <c:axId val="1085463008"/>
        <c:axId val="1085463488"/>
      </c:barChart>
      <c:catAx>
        <c:axId val="108546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63488"/>
        <c:crosses val="autoZero"/>
        <c:auto val="1"/>
        <c:lblAlgn val="ctr"/>
        <c:lblOffset val="100"/>
        <c:noMultiLvlLbl val="0"/>
      </c:catAx>
      <c:valAx>
        <c:axId val="108546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4.1 _ Excel - AI_ML - DA_DS.xlsx]pivot 1!PivotTable3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1'!$E$3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1'!$D$4:$D$7</c:f>
              <c:strCache>
                <c:ptCount val="3"/>
                <c:pt idx="0">
                  <c:v>Laptop</c:v>
                </c:pt>
                <c:pt idx="1">
                  <c:v>Mobile</c:v>
                </c:pt>
                <c:pt idx="2">
                  <c:v>Tablet</c:v>
                </c:pt>
              </c:strCache>
            </c:strRef>
          </c:cat>
          <c:val>
            <c:numRef>
              <c:f>'pivot 1'!$E$4:$E$7</c:f>
              <c:numCache>
                <c:formatCode>General</c:formatCode>
                <c:ptCount val="3"/>
                <c:pt idx="0">
                  <c:v>15228</c:v>
                </c:pt>
                <c:pt idx="1">
                  <c:v>17718</c:v>
                </c:pt>
                <c:pt idx="2">
                  <c:v>18219</c:v>
                </c:pt>
              </c:numCache>
            </c:numRef>
          </c:val>
          <c:extLst>
            <c:ext xmlns:c16="http://schemas.microsoft.com/office/drawing/2014/chart" uri="{C3380CC4-5D6E-409C-BE32-E72D297353CC}">
              <c16:uniqueId val="{00000000-D9C3-4FD8-A526-6B36883342D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4.1 _ Excel - AI_ML - DA_DS.xlsx]pivot 2!PivotTable7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2'!$A$4:$A$10</c:f>
              <c:strCache>
                <c:ptCount val="6"/>
                <c:pt idx="0">
                  <c:v>Engineering</c:v>
                </c:pt>
                <c:pt idx="1">
                  <c:v>Sales</c:v>
                </c:pt>
                <c:pt idx="2">
                  <c:v>Finance</c:v>
                </c:pt>
                <c:pt idx="3">
                  <c:v>Marketing</c:v>
                </c:pt>
                <c:pt idx="4">
                  <c:v>HR</c:v>
                </c:pt>
                <c:pt idx="5">
                  <c:v>(blank)</c:v>
                </c:pt>
              </c:strCache>
            </c:strRef>
          </c:cat>
          <c:val>
            <c:numRef>
              <c:f>'pivot 2'!$B$4:$B$10</c:f>
              <c:numCache>
                <c:formatCode>General</c:formatCode>
                <c:ptCount val="6"/>
                <c:pt idx="0">
                  <c:v>118.94</c:v>
                </c:pt>
                <c:pt idx="1">
                  <c:v>87.86999999999999</c:v>
                </c:pt>
                <c:pt idx="2">
                  <c:v>73.08</c:v>
                </c:pt>
                <c:pt idx="3">
                  <c:v>71.05</c:v>
                </c:pt>
                <c:pt idx="4">
                  <c:v>64.34</c:v>
                </c:pt>
              </c:numCache>
            </c:numRef>
          </c:val>
          <c:extLst>
            <c:ext xmlns:c16="http://schemas.microsoft.com/office/drawing/2014/chart" uri="{C3380CC4-5D6E-409C-BE32-E72D297353CC}">
              <c16:uniqueId val="{00000000-1E95-4824-A0C6-E91CCC9ABAA8}"/>
            </c:ext>
          </c:extLst>
        </c:ser>
        <c:dLbls>
          <c:showLegendKey val="0"/>
          <c:showVal val="0"/>
          <c:showCatName val="0"/>
          <c:showSerName val="0"/>
          <c:showPercent val="0"/>
          <c:showBubbleSize val="0"/>
        </c:dLbls>
        <c:gapWidth val="219"/>
        <c:overlap val="-27"/>
        <c:axId val="831514864"/>
        <c:axId val="831515344"/>
      </c:barChart>
      <c:catAx>
        <c:axId val="8315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15344"/>
        <c:crosses val="autoZero"/>
        <c:auto val="1"/>
        <c:lblAlgn val="ctr"/>
        <c:lblOffset val="100"/>
        <c:noMultiLvlLbl val="0"/>
      </c:catAx>
      <c:valAx>
        <c:axId val="8315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4.1 _ Excel - AI_ML - DA_DS.xlsx]pivot 3!PivotTable8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3'!$A$4:$A$10</c:f>
              <c:strCache>
                <c:ptCount val="6"/>
                <c:pt idx="0">
                  <c:v>Downtown</c:v>
                </c:pt>
                <c:pt idx="1">
                  <c:v>Rural</c:v>
                </c:pt>
                <c:pt idx="2">
                  <c:v>Suburbs</c:v>
                </c:pt>
                <c:pt idx="3">
                  <c:v>Urban</c:v>
                </c:pt>
                <c:pt idx="4">
                  <c:v>Waterfront</c:v>
                </c:pt>
                <c:pt idx="5">
                  <c:v>(blank)</c:v>
                </c:pt>
              </c:strCache>
            </c:strRef>
          </c:cat>
          <c:val>
            <c:numRef>
              <c:f>'pivot 3'!$B$4:$B$10</c:f>
              <c:numCache>
                <c:formatCode>General</c:formatCode>
                <c:ptCount val="6"/>
                <c:pt idx="0">
                  <c:v>12488000</c:v>
                </c:pt>
                <c:pt idx="1">
                  <c:v>13578000</c:v>
                </c:pt>
                <c:pt idx="2">
                  <c:v>11013000</c:v>
                </c:pt>
                <c:pt idx="3">
                  <c:v>12813000</c:v>
                </c:pt>
                <c:pt idx="4">
                  <c:v>14124000</c:v>
                </c:pt>
              </c:numCache>
            </c:numRef>
          </c:val>
          <c:extLst>
            <c:ext xmlns:c16="http://schemas.microsoft.com/office/drawing/2014/chart" uri="{C3380CC4-5D6E-409C-BE32-E72D297353CC}">
              <c16:uniqueId val="{00000000-1A42-4670-AE0B-392364BBA78D}"/>
            </c:ext>
          </c:extLst>
        </c:ser>
        <c:dLbls>
          <c:showLegendKey val="0"/>
          <c:showVal val="0"/>
          <c:showCatName val="0"/>
          <c:showSerName val="0"/>
          <c:showPercent val="0"/>
          <c:showBubbleSize val="0"/>
        </c:dLbls>
        <c:gapWidth val="219"/>
        <c:overlap val="-27"/>
        <c:axId val="1261309344"/>
        <c:axId val="1261309824"/>
      </c:barChart>
      <c:catAx>
        <c:axId val="126130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9824"/>
        <c:crosses val="autoZero"/>
        <c:auto val="1"/>
        <c:lblAlgn val="ctr"/>
        <c:lblOffset val="100"/>
        <c:noMultiLvlLbl val="0"/>
      </c:catAx>
      <c:valAx>
        <c:axId val="126130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4.1 _ Excel - AI_ML - DA_DS.xlsx]pivot 3!PivotTable9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3'!$E$3</c:f>
              <c:strCache>
                <c:ptCount val="1"/>
                <c:pt idx="0">
                  <c:v>Total</c:v>
                </c:pt>
              </c:strCache>
            </c:strRef>
          </c:tx>
          <c:spPr>
            <a:ln w="28575" cap="rnd">
              <a:solidFill>
                <a:schemeClr val="accent1"/>
              </a:solidFill>
              <a:round/>
            </a:ln>
            <a:effectLst/>
          </c:spPr>
          <c:marker>
            <c:symbol val="none"/>
          </c:marker>
          <c:cat>
            <c:strRef>
              <c:f>'pivot 3'!$D$4:$D$11</c:f>
              <c:strCache>
                <c:ptCount val="7"/>
                <c:pt idx="0">
                  <c:v>250000-349999</c:v>
                </c:pt>
                <c:pt idx="1">
                  <c:v>350000-449999</c:v>
                </c:pt>
                <c:pt idx="2">
                  <c:v>450000-549999</c:v>
                </c:pt>
                <c:pt idx="3">
                  <c:v>550000-649999</c:v>
                </c:pt>
                <c:pt idx="4">
                  <c:v>650000-749999</c:v>
                </c:pt>
                <c:pt idx="5">
                  <c:v>750000-849999</c:v>
                </c:pt>
                <c:pt idx="6">
                  <c:v>850000-949999</c:v>
                </c:pt>
              </c:strCache>
            </c:strRef>
          </c:cat>
          <c:val>
            <c:numRef>
              <c:f>'pivot 3'!$E$4:$E$11</c:f>
              <c:numCache>
                <c:formatCode>General</c:formatCode>
                <c:ptCount val="7"/>
                <c:pt idx="0">
                  <c:v>2002</c:v>
                </c:pt>
                <c:pt idx="1">
                  <c:v>2730</c:v>
                </c:pt>
                <c:pt idx="2">
                  <c:v>3715</c:v>
                </c:pt>
                <c:pt idx="3">
                  <c:v>2250</c:v>
                </c:pt>
                <c:pt idx="4">
                  <c:v>1019</c:v>
                </c:pt>
                <c:pt idx="5">
                  <c:v>252</c:v>
                </c:pt>
                <c:pt idx="6">
                  <c:v>141</c:v>
                </c:pt>
              </c:numCache>
            </c:numRef>
          </c:val>
          <c:smooth val="0"/>
          <c:extLst>
            <c:ext xmlns:c16="http://schemas.microsoft.com/office/drawing/2014/chart" uri="{C3380CC4-5D6E-409C-BE32-E72D297353CC}">
              <c16:uniqueId val="{00000000-6844-4084-9400-28D80E9EFA90}"/>
            </c:ext>
          </c:extLst>
        </c:ser>
        <c:dLbls>
          <c:showLegendKey val="0"/>
          <c:showVal val="0"/>
          <c:showCatName val="0"/>
          <c:showSerName val="0"/>
          <c:showPercent val="0"/>
          <c:showBubbleSize val="0"/>
        </c:dLbls>
        <c:smooth val="0"/>
        <c:axId val="1261316064"/>
        <c:axId val="1261313184"/>
      </c:lineChart>
      <c:catAx>
        <c:axId val="12613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13184"/>
        <c:crosses val="autoZero"/>
        <c:auto val="1"/>
        <c:lblAlgn val="ctr"/>
        <c:lblOffset val="100"/>
        <c:noMultiLvlLbl val="0"/>
      </c:catAx>
      <c:valAx>
        <c:axId val="126131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1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266700</xdr:colOff>
      <xdr:row>1</xdr:row>
      <xdr:rowOff>140970</xdr:rowOff>
    </xdr:from>
    <xdr:to>
      <xdr:col>15</xdr:col>
      <xdr:colOff>571500</xdr:colOff>
      <xdr:row>16</xdr:row>
      <xdr:rowOff>140970</xdr:rowOff>
    </xdr:to>
    <xdr:graphicFrame macro="">
      <xdr:nvGraphicFramePr>
        <xdr:cNvPr id="2" name="Chart 1">
          <a:extLst>
            <a:ext uri="{FF2B5EF4-FFF2-40B4-BE49-F238E27FC236}">
              <a16:creationId xmlns:a16="http://schemas.microsoft.com/office/drawing/2014/main" id="{57ED8783-240D-BB43-E849-6F15B7F1F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41910</xdr:rowOff>
    </xdr:from>
    <xdr:to>
      <xdr:col>5</xdr:col>
      <xdr:colOff>228600</xdr:colOff>
      <xdr:row>29</xdr:row>
      <xdr:rowOff>41910</xdr:rowOff>
    </xdr:to>
    <xdr:graphicFrame macro="">
      <xdr:nvGraphicFramePr>
        <xdr:cNvPr id="3" name="Chart 2">
          <a:extLst>
            <a:ext uri="{FF2B5EF4-FFF2-40B4-BE49-F238E27FC236}">
              <a16:creationId xmlns:a16="http://schemas.microsoft.com/office/drawing/2014/main" id="{E09E5252-258E-C3D9-D302-76A65893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137160</xdr:colOff>
      <xdr:row>17</xdr:row>
      <xdr:rowOff>60960</xdr:rowOff>
    </xdr:from>
    <xdr:to>
      <xdr:col>11</xdr:col>
      <xdr:colOff>137160</xdr:colOff>
      <xdr:row>30</xdr:row>
      <xdr:rowOff>150495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E0859EB-1CF1-6D10-EE81-37017CC48E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132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17</xdr:row>
      <xdr:rowOff>45720</xdr:rowOff>
    </xdr:from>
    <xdr:to>
      <xdr:col>14</xdr:col>
      <xdr:colOff>373380</xdr:colOff>
      <xdr:row>30</xdr:row>
      <xdr:rowOff>135255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B5A3C060-4C35-AC5A-B0CB-07E373F86EB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816340" y="3154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607337</xdr:colOff>
      <xdr:row>5</xdr:row>
      <xdr:rowOff>16598</xdr:rowOff>
    </xdr:from>
    <xdr:to>
      <xdr:col>10</xdr:col>
      <xdr:colOff>290466</xdr:colOff>
      <xdr:row>20</xdr:row>
      <xdr:rowOff>43759</xdr:rowOff>
    </xdr:to>
    <xdr:graphicFrame macro="">
      <xdr:nvGraphicFramePr>
        <xdr:cNvPr id="2" name="Chart 1">
          <a:extLst>
            <a:ext uri="{FF2B5EF4-FFF2-40B4-BE49-F238E27FC236}">
              <a16:creationId xmlns:a16="http://schemas.microsoft.com/office/drawing/2014/main" id="{BC565278-6672-1A82-D26A-0C397E19D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90611</xdr:colOff>
      <xdr:row>10</xdr:row>
      <xdr:rowOff>72805</xdr:rowOff>
    </xdr:from>
    <xdr:to>
      <xdr:col>1</xdr:col>
      <xdr:colOff>1029154</xdr:colOff>
      <xdr:row>24</xdr:row>
      <xdr:rowOff>4810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8AEC92C3-FD63-0439-147D-6BB8F2DD787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0611" y="188349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49530</xdr:rowOff>
    </xdr:from>
    <xdr:to>
      <xdr:col>4</xdr:col>
      <xdr:colOff>1363980</xdr:colOff>
      <xdr:row>27</xdr:row>
      <xdr:rowOff>49530</xdr:rowOff>
    </xdr:to>
    <xdr:graphicFrame macro="">
      <xdr:nvGraphicFramePr>
        <xdr:cNvPr id="2" name="Chart 1">
          <a:extLst>
            <a:ext uri="{FF2B5EF4-FFF2-40B4-BE49-F238E27FC236}">
              <a16:creationId xmlns:a16="http://schemas.microsoft.com/office/drawing/2014/main" id="{1BEFE95D-8482-8F2A-5CB0-AE5B75AF7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171450</xdr:rowOff>
    </xdr:from>
    <xdr:to>
      <xdr:col>4</xdr:col>
      <xdr:colOff>1363980</xdr:colOff>
      <xdr:row>42</xdr:row>
      <xdr:rowOff>171450</xdr:rowOff>
    </xdr:to>
    <xdr:graphicFrame macro="">
      <xdr:nvGraphicFramePr>
        <xdr:cNvPr id="3" name="Chart 2">
          <a:extLst>
            <a:ext uri="{FF2B5EF4-FFF2-40B4-BE49-F238E27FC236}">
              <a16:creationId xmlns:a16="http://schemas.microsoft.com/office/drawing/2014/main" id="{0C24F824-5E6F-F736-34C2-EA8F354C8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xdr:row>
      <xdr:rowOff>0</xdr:rowOff>
    </xdr:from>
    <xdr:to>
      <xdr:col>16</xdr:col>
      <xdr:colOff>0</xdr:colOff>
      <xdr:row>15</xdr:row>
      <xdr:rowOff>89535</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DE948B20-B0BD-4F88-EC99-DC9D4EE3A92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193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3.421454050927" createdVersion="8" refreshedVersion="8" minRefreshableVersion="3" recordCount="90" xr:uid="{5B791923-0707-4AA8-805D-5C293DBE79F4}">
  <cacheSource type="worksheet">
    <worksheetSource ref="A1:E91" sheet="Sales Data (For Tasks-1)"/>
  </cacheSource>
  <cacheFields count="6">
    <cacheField name="Date" numFmtId="164">
      <sharedItems containsSemiMixedTypes="0" containsNonDate="0" containsDate="1" containsString="0" minDate="2024-01-01T00:00:00" maxDate="2024-01-31T00:00:00" count="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sharedItems>
      <fieldGroup par="5"/>
    </cacheField>
    <cacheField name="Region" numFmtId="0">
      <sharedItems count="3">
        <s v="North"/>
        <s v="South"/>
        <s v="East"/>
      </sharedItems>
    </cacheField>
    <cacheField name="Product" numFmtId="0">
      <sharedItems count="3">
        <s v="Laptop"/>
        <s v="Tablet"/>
        <s v="Mobile"/>
      </sharedItems>
    </cacheField>
    <cacheField name="Sales" numFmtId="0">
      <sharedItems containsSemiMixedTypes="0" containsString="0" containsNumber="1" containsInteger="1" minValue="12" maxValue="1125"/>
    </cacheField>
    <cacheField name="Quantity" numFmtId="0">
      <sharedItems containsSemiMixedTypes="0" containsString="0" containsNumber="1" containsInteger="1" minValue="1" maxValue="90" count="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sharedItems>
    </cacheField>
    <cacheField name="Days (Date)" numFmtId="0" databaseField="0">
      <fieldGroup base="0">
        <rangePr groupBy="days" startDate="2024-01-01T00:00:00" endDate="2024-01-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1-2024"/>
        </groupItems>
      </fieldGroup>
    </cacheField>
  </cacheFields>
  <extLst>
    <ext xmlns:x14="http://schemas.microsoft.com/office/spreadsheetml/2009/9/main" uri="{725AE2AE-9491-48be-B2B4-4EB974FC3084}">
      <x14:pivotCacheDefinition pivotCacheId="14494055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3.444028935184" createdVersion="8" refreshedVersion="8" minRefreshableVersion="3" recordCount="121" xr:uid="{4A811AEB-1E59-4326-9DB5-7374B4F11CD7}">
  <cacheSource type="worksheet">
    <worksheetSource ref="A1:I1048576" sheet="Employee Data (For Tasks-1)"/>
  </cacheSource>
  <cacheFields count="9">
    <cacheField name="Employee_ID" numFmtId="0">
      <sharedItems containsBlank="1"/>
    </cacheField>
    <cacheField name="Department" numFmtId="0">
      <sharedItems containsBlank="1" count="6">
        <s v="Engineering"/>
        <s v="Sales"/>
        <s v="Marketing"/>
        <s v="Finance"/>
        <s v="HR"/>
        <m/>
      </sharedItems>
    </cacheField>
    <cacheField name="Performance_Score" numFmtId="0">
      <sharedItems containsString="0" containsBlank="1" containsNumber="1" minValue="2.19" maxValue="4.7300000000000004"/>
    </cacheField>
    <cacheField name="Projects_Completed" numFmtId="0">
      <sharedItems containsString="0" containsBlank="1" containsNumber="1" containsInteger="1" minValue="2" maxValue="11"/>
    </cacheField>
    <cacheField name="Satisfaction_Score" numFmtId="0">
      <sharedItems containsString="0" containsBlank="1" containsNumber="1" minValue="2.74" maxValue="5"/>
    </cacheField>
    <cacheField name="Training_Hours" numFmtId="0">
      <sharedItems containsString="0" containsBlank="1" containsNumber="1" containsInteger="1" minValue="10" maxValue="99"/>
    </cacheField>
    <cacheField name="Years_Experience" numFmtId="0">
      <sharedItems containsString="0" containsBlank="1" containsNumber="1" containsInteger="1" minValue="1" maxValue="14"/>
    </cacheField>
    <cacheField name="Attendance_Rate" numFmtId="0">
      <sharedItems containsString="0" containsBlank="1" containsNumber="1" minValue="0.86799999999999999" maxValue="1"/>
    </cacheField>
    <cacheField name="Productivity_Index" numFmtId="0">
      <sharedItems containsString="0" containsBlank="1" containsNumber="1" minValue="61.8" maxValue="100"/>
    </cacheField>
  </cacheFields>
  <extLst>
    <ext xmlns:x14="http://schemas.microsoft.com/office/spreadsheetml/2009/9/main" uri="{725AE2AE-9491-48be-B2B4-4EB974FC3084}">
      <x14:pivotCacheDefinition pivotCacheId="120000161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3.446870254629" createdVersion="8" refreshedVersion="8" minRefreshableVersion="3" recordCount="131" xr:uid="{D6A78B41-2150-4517-9EC7-9D95483C69C6}">
  <cacheSource type="worksheet">
    <worksheetSource ref="A1:N1048576" sheet="Real Estate Listing Data (For T"/>
  </cacheSource>
  <cacheFields count="14">
    <cacheField name="Listing_ID" numFmtId="0">
      <sharedItems containsBlank="1"/>
    </cacheField>
    <cacheField name="Property_Type" numFmtId="0">
      <sharedItems containsBlank="1" count="5">
        <s v="Multi Family"/>
        <s v="Condo"/>
        <s v="Townhouse"/>
        <s v="Single Family"/>
        <m/>
      </sharedItems>
    </cacheField>
    <cacheField name="Location" numFmtId="0">
      <sharedItems containsBlank="1" count="6">
        <s v="Suburbs"/>
        <s v="Waterfront"/>
        <s v="Downtown"/>
        <s v="Rural"/>
        <s v="Urban"/>
        <m/>
      </sharedItems>
    </cacheField>
    <cacheField name="Price" numFmtId="0">
      <sharedItems containsString="0" containsBlank="1" containsNumber="1" containsInteger="1" minValue="250000" maxValue="869000" count="108">
        <n v="575000"/>
        <n v="479000"/>
        <n v="597000"/>
        <n v="728000"/>
        <n v="465000"/>
        <n v="737000"/>
        <n v="615000"/>
        <n v="430000"/>
        <n v="581000"/>
        <n v="536000"/>
        <n v="250000"/>
        <n v="416000"/>
        <n v="348000"/>
        <n v="547000"/>
        <n v="364000"/>
        <n v="288000"/>
        <n v="720000"/>
        <n v="466000"/>
        <n v="510000"/>
        <n v="286000"/>
        <n v="418000"/>
        <n v="517000"/>
        <n v="327000"/>
        <n v="556000"/>
        <n v="410000"/>
        <n v="456000"/>
        <n v="778000"/>
        <n v="498000"/>
        <n v="341000"/>
        <n v="623000"/>
        <n v="317000"/>
        <n v="531000"/>
        <n v="301000"/>
        <n v="530000"/>
        <n v="611000"/>
        <n v="526000"/>
        <n v="483000"/>
        <n v="455000"/>
        <n v="278000"/>
        <n v="392000"/>
        <n v="431000"/>
        <n v="659000"/>
        <n v="552000"/>
        <n v="549000"/>
        <n v="442000"/>
        <n v="398000"/>
        <n v="592000"/>
        <n v="655000"/>
        <n v="640000"/>
        <n v="374000"/>
        <n v="454000"/>
        <n v="550000"/>
        <n v="646000"/>
        <n v="428000"/>
        <n v="472000"/>
        <n v="334000"/>
        <n v="321000"/>
        <n v="622000"/>
        <n v="703000"/>
        <n v="489000"/>
        <n v="651000"/>
        <n v="554000"/>
        <n v="403000"/>
        <n v="731000"/>
        <n v="495000"/>
        <n v="735000"/>
        <n v="513000"/>
        <n v="514000"/>
        <n v="467000"/>
        <n v="722000"/>
        <n v="422000"/>
        <n v="379000"/>
        <n v="425000"/>
        <n v="637000"/>
        <n v="421000"/>
        <n v="577000"/>
        <n v="515000"/>
        <n v="645000"/>
        <n v="395000"/>
        <n v="451000"/>
        <n v="441000"/>
        <n v="280000"/>
        <n v="544000"/>
        <n v="539000"/>
        <n v="501000"/>
        <n v="437000"/>
        <n v="449000"/>
        <n v="380000"/>
        <n v="476000"/>
        <n v="561000"/>
        <n v="783000"/>
        <n v="496000"/>
        <n v="509000"/>
        <n v="869000"/>
        <n v="471000"/>
        <n v="545000"/>
        <n v="325000"/>
        <n v="671000"/>
        <n v="613000"/>
        <n v="619000"/>
        <n v="710000"/>
        <n v="290000"/>
        <n v="588000"/>
        <n v="829000"/>
        <n v="351000"/>
        <n v="415000"/>
        <n v="424000"/>
        <m/>
      </sharedItems>
      <fieldGroup base="3">
        <rangePr startNum="250000" endNum="869000" groupInterval="100000"/>
        <groupItems count="9">
          <s v="(blank)"/>
          <s v="250000-349999"/>
          <s v="350000-449999"/>
          <s v="450000-549999"/>
          <s v="550000-649999"/>
          <s v="650000-749999"/>
          <s v="750000-849999"/>
          <s v="850000-949999"/>
          <s v="&gt;950000"/>
        </groupItems>
      </fieldGroup>
    </cacheField>
    <cacheField name="Bedrooms" numFmtId="0">
      <sharedItems containsString="0" containsBlank="1" containsNumber="1" containsInteger="1" minValue="2" maxValue="5"/>
    </cacheField>
    <cacheField name="Bathrooms" numFmtId="0">
      <sharedItems containsString="0" containsBlank="1" containsNumber="1" minValue="1" maxValue="3.5"/>
    </cacheField>
    <cacheField name="Square_Feet" numFmtId="0">
      <sharedItems containsString="0" containsBlank="1" containsNumber="1" containsInteger="1" minValue="1000" maxValue="3510" count="102">
        <n v="2450"/>
        <n v="1860"/>
        <n v="1710"/>
        <n v="2350"/>
        <n v="1900"/>
        <n v="1920"/>
        <n v="2340"/>
        <n v="1330"/>
        <n v="1360"/>
        <n v="1770"/>
        <n v="2070"/>
        <n v="2390"/>
        <n v="3090"/>
        <n v="2710"/>
        <n v="2100"/>
        <n v="2190"/>
        <n v="1600"/>
        <n v="2030"/>
        <n v="1700"/>
        <n v="2510"/>
        <n v="3120"/>
        <n v="2130"/>
        <n v="2440"/>
        <n v="2610"/>
        <n v="1960"/>
        <n v="2330"/>
        <n v="2210"/>
        <n v="2260"/>
        <n v="1740"/>
        <n v="2500"/>
        <n v="3070"/>
        <n v="2780"/>
        <n v="3490"/>
        <n v="2720"/>
        <n v="2310"/>
        <n v="3510"/>
        <n v="1720"/>
        <n v="1840"/>
        <n v="1000"/>
        <n v="1880"/>
        <n v="2290"/>
        <n v="2410"/>
        <n v="3330"/>
        <n v="2770"/>
        <n v="1850"/>
        <n v="1660"/>
        <n v="1410"/>
        <n v="3300"/>
        <n v="2910"/>
        <n v="1170"/>
        <n v="3010"/>
        <n v="2940"/>
        <n v="1240"/>
        <n v="2200"/>
        <n v="2230"/>
        <n v="1930"/>
        <n v="2570"/>
        <n v="1560"/>
        <n v="2110"/>
        <n v="2270"/>
        <n v="2630"/>
        <n v="1530"/>
        <n v="1280"/>
        <n v="2970"/>
        <n v="2400"/>
        <n v="1750"/>
        <n v="3130"/>
        <n v="2240"/>
        <n v="3440"/>
        <n v="3250"/>
        <n v="2050"/>
        <n v="2590"/>
        <n v="3020"/>
        <n v="1620"/>
        <n v="2840"/>
        <n v="1140"/>
        <n v="1490"/>
        <n v="2040"/>
        <n v="3100"/>
        <n v="3180"/>
        <n v="1370"/>
        <n v="1180"/>
        <n v="2170"/>
        <n v="2430"/>
        <n v="2180"/>
        <n v="2150"/>
        <n v="1420"/>
        <n v="2600"/>
        <n v="2420"/>
        <n v="1640"/>
        <n v="1890"/>
        <n v="2160"/>
        <n v="1610"/>
        <n v="2140"/>
        <n v="1580"/>
        <n v="1870"/>
        <n v="1480"/>
        <n v="3380"/>
        <n v="2220"/>
        <n v="1780"/>
        <n v="2650"/>
        <m/>
      </sharedItems>
      <fieldGroup base="6">
        <rangePr startNum="1000" endNum="3510" groupInterval="100"/>
        <groupItems count="28">
          <s v="(blank)"/>
          <s v="1000-1099"/>
          <s v="1100-1199"/>
          <s v="1200-1299"/>
          <s v="1300-1399"/>
          <s v="1400-1499"/>
          <s v="1500-1599"/>
          <s v="1600-1699"/>
          <s v="1700-1799"/>
          <s v="1800-1899"/>
          <s v="1900-1999"/>
          <s v="2000-2099"/>
          <s v="2100-2199"/>
          <s v="2200-2299"/>
          <s v="2300-2399"/>
          <s v="2400-2499"/>
          <s v="2500-2599"/>
          <s v="2600-2699"/>
          <s v="2700-2799"/>
          <s v="2800-2899"/>
          <s v="2900-2999"/>
          <s v="3000-3099"/>
          <s v="3100-3199"/>
          <s v="3200-3299"/>
          <s v="3300-3399"/>
          <s v="3400-3499"/>
          <s v="3500-3599"/>
          <s v="&gt;3600"/>
        </groupItems>
      </fieldGroup>
    </cacheField>
    <cacheField name="Year_Built" numFmtId="0">
      <sharedItems containsString="0" containsBlank="1" containsNumber="1" containsInteger="1" minValue="1970" maxValue="2023"/>
    </cacheField>
    <cacheField name="Days_on_Market" numFmtId="0">
      <sharedItems containsString="0" containsBlank="1" containsNumber="1" containsInteger="1" minValue="1" maxValue="179" count="90">
        <n v="126"/>
        <n v="139"/>
        <n v="100"/>
        <n v="77"/>
        <n v="3"/>
        <n v="161"/>
        <n v="134"/>
        <n v="178"/>
        <n v="10"/>
        <n v="5"/>
        <n v="151"/>
        <n v="138"/>
        <n v="172"/>
        <n v="130"/>
        <n v="13"/>
        <n v="168"/>
        <n v="84"/>
        <n v="65"/>
        <n v="63"/>
        <n v="101"/>
        <n v="73"/>
        <n v="17"/>
        <n v="9"/>
        <n v="143"/>
        <n v="152"/>
        <n v="38"/>
        <n v="163"/>
        <n v="94"/>
        <n v="95"/>
        <n v="49"/>
        <n v="69"/>
        <n v="62"/>
        <n v="78"/>
        <n v="117"/>
        <n v="120"/>
        <n v="137"/>
        <n v="162"/>
        <n v="76"/>
        <n v="35"/>
        <n v="1"/>
        <n v="40"/>
        <n v="64"/>
        <n v="150"/>
        <n v="60"/>
        <n v="93"/>
        <n v="72"/>
        <n v="11"/>
        <n v="105"/>
        <n v="14"/>
        <n v="30"/>
        <n v="165"/>
        <n v="83"/>
        <n v="123"/>
        <n v="154"/>
        <n v="132"/>
        <n v="89"/>
        <n v="42"/>
        <n v="146"/>
        <n v="39"/>
        <n v="104"/>
        <n v="32"/>
        <n v="179"/>
        <n v="125"/>
        <n v="166"/>
        <n v="97"/>
        <n v="23"/>
        <n v="153"/>
        <n v="145"/>
        <n v="53"/>
        <n v="67"/>
        <n v="135"/>
        <n v="15"/>
        <n v="111"/>
        <n v="157"/>
        <n v="33"/>
        <n v="155"/>
        <n v="164"/>
        <n v="86"/>
        <n v="66"/>
        <n v="74"/>
        <n v="118"/>
        <n v="141"/>
        <n v="159"/>
        <n v="47"/>
        <n v="109"/>
        <n v="136"/>
        <n v="68"/>
        <n v="173"/>
        <n v="115"/>
        <m/>
      </sharedItems>
    </cacheField>
    <cacheField name="Status" numFmtId="0">
      <sharedItems containsBlank="1"/>
    </cacheField>
    <cacheField name="Price_per_SqFt" numFmtId="0">
      <sharedItems containsString="0" containsBlank="1" containsNumber="1" minValue="75.08" maxValue="565.79"/>
    </cacheField>
    <cacheField name="Lot_Size" numFmtId="0">
      <sharedItems containsString="0" containsBlank="1" containsNumber="1" minValue="0.1" maxValue="0.63600000000000001"/>
    </cacheField>
    <cacheField name="Garage_Spaces" numFmtId="0">
      <sharedItems containsString="0" containsBlank="1" containsNumber="1" containsInteger="1" minValue="0" maxValue="3"/>
    </cacheField>
    <cacheField name="List_Date" numFmtId="0">
      <sharedItems containsNonDate="0" containsDate="1" containsString="0" containsBlank="1" minDate="2023-07-06T00:00:00" maxDate="2024-01-01T00:00:00"/>
    </cacheField>
  </cacheFields>
  <extLst>
    <ext xmlns:x14="http://schemas.microsoft.com/office/spreadsheetml/2009/9/main" uri="{725AE2AE-9491-48be-B2B4-4EB974FC3084}">
      <x14:pivotCacheDefinition pivotCacheId="1614859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n v="550"/>
    <x v="0"/>
  </r>
  <r>
    <x v="1"/>
    <x v="1"/>
    <x v="1"/>
    <n v="137"/>
    <x v="1"/>
  </r>
  <r>
    <x v="2"/>
    <x v="2"/>
    <x v="2"/>
    <n v="700"/>
    <x v="2"/>
  </r>
  <r>
    <x v="3"/>
    <x v="0"/>
    <x v="0"/>
    <n v="1125"/>
    <x v="3"/>
  </r>
  <r>
    <x v="4"/>
    <x v="1"/>
    <x v="1"/>
    <n v="975"/>
    <x v="4"/>
  </r>
  <r>
    <x v="5"/>
    <x v="2"/>
    <x v="2"/>
    <n v="912"/>
    <x v="5"/>
  </r>
  <r>
    <x v="6"/>
    <x v="0"/>
    <x v="0"/>
    <n v="325"/>
    <x v="6"/>
  </r>
  <r>
    <x v="7"/>
    <x v="1"/>
    <x v="1"/>
    <n v="850"/>
    <x v="7"/>
  </r>
  <r>
    <x v="8"/>
    <x v="2"/>
    <x v="2"/>
    <n v="275"/>
    <x v="8"/>
  </r>
  <r>
    <x v="9"/>
    <x v="0"/>
    <x v="0"/>
    <n v="337"/>
    <x v="9"/>
  </r>
  <r>
    <x v="10"/>
    <x v="1"/>
    <x v="1"/>
    <n v="800"/>
    <x v="10"/>
  </r>
  <r>
    <x v="11"/>
    <x v="2"/>
    <x v="2"/>
    <n v="250"/>
    <x v="11"/>
  </r>
  <r>
    <x v="12"/>
    <x v="0"/>
    <x v="0"/>
    <n v="25"/>
    <x v="12"/>
  </r>
  <r>
    <x v="13"/>
    <x v="1"/>
    <x v="1"/>
    <n v="900"/>
    <x v="13"/>
  </r>
  <r>
    <x v="14"/>
    <x v="2"/>
    <x v="2"/>
    <n v="825"/>
    <x v="14"/>
  </r>
  <r>
    <x v="15"/>
    <x v="0"/>
    <x v="0"/>
    <n v="312"/>
    <x v="15"/>
  </r>
  <r>
    <x v="16"/>
    <x v="1"/>
    <x v="1"/>
    <n v="600"/>
    <x v="16"/>
  </r>
  <r>
    <x v="17"/>
    <x v="2"/>
    <x v="2"/>
    <n v="462"/>
    <x v="17"/>
  </r>
  <r>
    <x v="18"/>
    <x v="0"/>
    <x v="0"/>
    <n v="237"/>
    <x v="18"/>
  </r>
  <r>
    <x v="19"/>
    <x v="1"/>
    <x v="1"/>
    <n v="100"/>
    <x v="19"/>
  </r>
  <r>
    <x v="20"/>
    <x v="2"/>
    <x v="2"/>
    <n v="87"/>
    <x v="20"/>
  </r>
  <r>
    <x v="21"/>
    <x v="0"/>
    <x v="0"/>
    <n v="737"/>
    <x v="21"/>
  </r>
  <r>
    <x v="22"/>
    <x v="1"/>
    <x v="1"/>
    <n v="525"/>
    <x v="22"/>
  </r>
  <r>
    <x v="23"/>
    <x v="2"/>
    <x v="2"/>
    <n v="887"/>
    <x v="23"/>
  </r>
  <r>
    <x v="24"/>
    <x v="0"/>
    <x v="0"/>
    <n v="175"/>
    <x v="24"/>
  </r>
  <r>
    <x v="25"/>
    <x v="1"/>
    <x v="1"/>
    <n v="12"/>
    <x v="25"/>
  </r>
  <r>
    <x v="26"/>
    <x v="2"/>
    <x v="2"/>
    <n v="725"/>
    <x v="26"/>
  </r>
  <r>
    <x v="27"/>
    <x v="0"/>
    <x v="0"/>
    <n v="637"/>
    <x v="27"/>
  </r>
  <r>
    <x v="28"/>
    <x v="1"/>
    <x v="1"/>
    <n v="1062"/>
    <x v="28"/>
  </r>
  <r>
    <x v="29"/>
    <x v="2"/>
    <x v="2"/>
    <n v="300"/>
    <x v="29"/>
  </r>
  <r>
    <x v="0"/>
    <x v="0"/>
    <x v="0"/>
    <n v="162"/>
    <x v="30"/>
  </r>
  <r>
    <x v="1"/>
    <x v="1"/>
    <x v="1"/>
    <n v="75"/>
    <x v="31"/>
  </r>
  <r>
    <x v="2"/>
    <x v="2"/>
    <x v="2"/>
    <n v="612"/>
    <x v="32"/>
  </r>
  <r>
    <x v="3"/>
    <x v="0"/>
    <x v="0"/>
    <n v="187"/>
    <x v="33"/>
  </r>
  <r>
    <x v="4"/>
    <x v="1"/>
    <x v="1"/>
    <n v="125"/>
    <x v="34"/>
  </r>
  <r>
    <x v="5"/>
    <x v="2"/>
    <x v="2"/>
    <n v="475"/>
    <x v="35"/>
  </r>
  <r>
    <x v="6"/>
    <x v="0"/>
    <x v="0"/>
    <n v="287"/>
    <x v="36"/>
  </r>
  <r>
    <x v="7"/>
    <x v="1"/>
    <x v="1"/>
    <n v="1012"/>
    <x v="37"/>
  </r>
  <r>
    <x v="8"/>
    <x v="2"/>
    <x v="2"/>
    <n v="350"/>
    <x v="38"/>
  </r>
  <r>
    <x v="9"/>
    <x v="0"/>
    <x v="0"/>
    <n v="950"/>
    <x v="39"/>
  </r>
  <r>
    <x v="10"/>
    <x v="1"/>
    <x v="1"/>
    <n v="937"/>
    <x v="40"/>
  </r>
  <r>
    <x v="11"/>
    <x v="2"/>
    <x v="2"/>
    <n v="787"/>
    <x v="41"/>
  </r>
  <r>
    <x v="12"/>
    <x v="0"/>
    <x v="0"/>
    <n v="225"/>
    <x v="42"/>
  </r>
  <r>
    <x v="13"/>
    <x v="1"/>
    <x v="1"/>
    <n v="450"/>
    <x v="43"/>
  </r>
  <r>
    <x v="14"/>
    <x v="2"/>
    <x v="2"/>
    <n v="537"/>
    <x v="44"/>
  </r>
  <r>
    <x v="15"/>
    <x v="0"/>
    <x v="0"/>
    <n v="1000"/>
    <x v="45"/>
  </r>
  <r>
    <x v="16"/>
    <x v="1"/>
    <x v="1"/>
    <n v="425"/>
    <x v="46"/>
  </r>
  <r>
    <x v="17"/>
    <x v="2"/>
    <x v="2"/>
    <n v="37"/>
    <x v="47"/>
  </r>
  <r>
    <x v="18"/>
    <x v="0"/>
    <x v="0"/>
    <n v="812"/>
    <x v="48"/>
  </r>
  <r>
    <x v="19"/>
    <x v="1"/>
    <x v="1"/>
    <n v="375"/>
    <x v="49"/>
  </r>
  <r>
    <x v="20"/>
    <x v="2"/>
    <x v="2"/>
    <n v="400"/>
    <x v="50"/>
  </r>
  <r>
    <x v="21"/>
    <x v="0"/>
    <x v="0"/>
    <n v="512"/>
    <x v="51"/>
  </r>
  <r>
    <x v="22"/>
    <x v="1"/>
    <x v="1"/>
    <n v="762"/>
    <x v="52"/>
  </r>
  <r>
    <x v="23"/>
    <x v="2"/>
    <x v="2"/>
    <n v="500"/>
    <x v="53"/>
  </r>
  <r>
    <x v="24"/>
    <x v="0"/>
    <x v="0"/>
    <n v="437"/>
    <x v="54"/>
  </r>
  <r>
    <x v="25"/>
    <x v="1"/>
    <x v="1"/>
    <n v="562"/>
    <x v="55"/>
  </r>
  <r>
    <x v="26"/>
    <x v="2"/>
    <x v="2"/>
    <n v="1100"/>
    <x v="56"/>
  </r>
  <r>
    <x v="27"/>
    <x v="0"/>
    <x v="0"/>
    <n v="112"/>
    <x v="57"/>
  </r>
  <r>
    <x v="28"/>
    <x v="1"/>
    <x v="1"/>
    <n v="962"/>
    <x v="58"/>
  </r>
  <r>
    <x v="29"/>
    <x v="2"/>
    <x v="2"/>
    <n v="1037"/>
    <x v="59"/>
  </r>
  <r>
    <x v="0"/>
    <x v="0"/>
    <x v="0"/>
    <n v="662"/>
    <x v="60"/>
  </r>
  <r>
    <x v="1"/>
    <x v="1"/>
    <x v="1"/>
    <n v="62"/>
    <x v="61"/>
  </r>
  <r>
    <x v="2"/>
    <x v="2"/>
    <x v="2"/>
    <n v="1050"/>
    <x v="62"/>
  </r>
  <r>
    <x v="3"/>
    <x v="0"/>
    <x v="0"/>
    <n v="712"/>
    <x v="63"/>
  </r>
  <r>
    <x v="4"/>
    <x v="1"/>
    <x v="1"/>
    <n v="487"/>
    <x v="64"/>
  </r>
  <r>
    <x v="5"/>
    <x v="2"/>
    <x v="2"/>
    <n v="587"/>
    <x v="65"/>
  </r>
  <r>
    <x v="6"/>
    <x v="0"/>
    <x v="0"/>
    <n v="150"/>
    <x v="66"/>
  </r>
  <r>
    <x v="7"/>
    <x v="1"/>
    <x v="1"/>
    <n v="750"/>
    <x v="67"/>
  </r>
  <r>
    <x v="8"/>
    <x v="2"/>
    <x v="2"/>
    <n v="862"/>
    <x v="68"/>
  </r>
  <r>
    <x v="9"/>
    <x v="0"/>
    <x v="0"/>
    <n v="387"/>
    <x v="69"/>
  </r>
  <r>
    <x v="10"/>
    <x v="1"/>
    <x v="1"/>
    <n v="875"/>
    <x v="70"/>
  </r>
  <r>
    <x v="11"/>
    <x v="2"/>
    <x v="2"/>
    <n v="625"/>
    <x v="71"/>
  </r>
  <r>
    <x v="12"/>
    <x v="0"/>
    <x v="0"/>
    <n v="362"/>
    <x v="72"/>
  </r>
  <r>
    <x v="13"/>
    <x v="1"/>
    <x v="1"/>
    <n v="925"/>
    <x v="73"/>
  </r>
  <r>
    <x v="14"/>
    <x v="2"/>
    <x v="2"/>
    <n v="1087"/>
    <x v="74"/>
  </r>
  <r>
    <x v="15"/>
    <x v="0"/>
    <x v="0"/>
    <n v="687"/>
    <x v="75"/>
  </r>
  <r>
    <x v="16"/>
    <x v="1"/>
    <x v="1"/>
    <n v="1025"/>
    <x v="76"/>
  </r>
  <r>
    <x v="17"/>
    <x v="2"/>
    <x v="2"/>
    <n v="775"/>
    <x v="77"/>
  </r>
  <r>
    <x v="18"/>
    <x v="0"/>
    <x v="0"/>
    <n v="675"/>
    <x v="78"/>
  </r>
  <r>
    <x v="19"/>
    <x v="1"/>
    <x v="1"/>
    <n v="837"/>
    <x v="79"/>
  </r>
  <r>
    <x v="20"/>
    <x v="2"/>
    <x v="2"/>
    <n v="212"/>
    <x v="80"/>
  </r>
  <r>
    <x v="21"/>
    <x v="0"/>
    <x v="0"/>
    <n v="1112"/>
    <x v="81"/>
  </r>
  <r>
    <x v="22"/>
    <x v="1"/>
    <x v="1"/>
    <n v="575"/>
    <x v="82"/>
  </r>
  <r>
    <x v="23"/>
    <x v="2"/>
    <x v="2"/>
    <n v="200"/>
    <x v="83"/>
  </r>
  <r>
    <x v="24"/>
    <x v="0"/>
    <x v="0"/>
    <n v="262"/>
    <x v="84"/>
  </r>
  <r>
    <x v="25"/>
    <x v="1"/>
    <x v="1"/>
    <n v="987"/>
    <x v="85"/>
  </r>
  <r>
    <x v="26"/>
    <x v="2"/>
    <x v="2"/>
    <n v="650"/>
    <x v="86"/>
  </r>
  <r>
    <x v="27"/>
    <x v="0"/>
    <x v="0"/>
    <n v="1075"/>
    <x v="87"/>
  </r>
  <r>
    <x v="28"/>
    <x v="1"/>
    <x v="1"/>
    <n v="50"/>
    <x v="88"/>
  </r>
  <r>
    <x v="29"/>
    <x v="2"/>
    <x v="2"/>
    <n v="412"/>
    <x v="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EMP001"/>
    <x v="0"/>
    <n v="3.75"/>
    <n v="2"/>
    <n v="4.66"/>
    <n v="61"/>
    <n v="2"/>
    <n v="0.89800000000000002"/>
    <n v="96.1"/>
  </r>
  <r>
    <s v="EMP002"/>
    <x v="1"/>
    <n v="3.43"/>
    <n v="7"/>
    <n v="3.8"/>
    <n v="92"/>
    <n v="12"/>
    <n v="0.99299999999999999"/>
    <n v="92.7"/>
  </r>
  <r>
    <s v="EMP003"/>
    <x v="2"/>
    <n v="3.82"/>
    <n v="9"/>
    <n v="4.38"/>
    <n v="25"/>
    <n v="12"/>
    <n v="0.97699999999999998"/>
    <n v="77.8"/>
  </r>
  <r>
    <s v="EMP004"/>
    <x v="3"/>
    <n v="4.26"/>
    <n v="6"/>
    <n v="3.35"/>
    <n v="78"/>
    <n v="5"/>
    <n v="0.94599999999999995"/>
    <n v="100"/>
  </r>
  <r>
    <s v="EMP005"/>
    <x v="1"/>
    <n v="3.38"/>
    <n v="5"/>
    <n v="3.22"/>
    <n v="21"/>
    <n v="9"/>
    <n v="0.95599999999999996"/>
    <n v="67.3"/>
  </r>
  <r>
    <s v="EMP006"/>
    <x v="0"/>
    <n v="3.38"/>
    <n v="3"/>
    <n v="3.55"/>
    <n v="34"/>
    <n v="4"/>
    <n v="0.88500000000000001"/>
    <n v="74.7"/>
  </r>
  <r>
    <s v="EMP007"/>
    <x v="1"/>
    <n v="4.29"/>
    <n v="7"/>
    <n v="3.38"/>
    <n v="61"/>
    <n v="11"/>
    <n v="0.93500000000000005"/>
    <n v="86.7"/>
  </r>
  <r>
    <s v="EMP008"/>
    <x v="0"/>
    <n v="3.88"/>
    <n v="7"/>
    <n v="3.29"/>
    <n v="94"/>
    <n v="6"/>
    <n v="0.99"/>
    <n v="85.9"/>
  </r>
  <r>
    <s v="EMP009"/>
    <x v="0"/>
    <n v="3.27"/>
    <n v="2"/>
    <n v="4.2699999999999996"/>
    <n v="62"/>
    <n v="1"/>
    <n v="0.97899999999999998"/>
    <n v="89.9"/>
  </r>
  <r>
    <s v="EMP010"/>
    <x v="2"/>
    <n v="3.77"/>
    <n v="10"/>
    <n v="5"/>
    <n v="32"/>
    <n v="9"/>
    <n v="0.96"/>
    <n v="100"/>
  </r>
  <r>
    <s v="EMP011"/>
    <x v="3"/>
    <n v="3.27"/>
    <n v="7"/>
    <n v="3.6"/>
    <n v="25"/>
    <n v="1"/>
    <n v="0.95"/>
    <n v="83.8"/>
  </r>
  <r>
    <s v="EMP012"/>
    <x v="3"/>
    <n v="3.27"/>
    <n v="4"/>
    <n v="2.98"/>
    <n v="66"/>
    <n v="5"/>
    <n v="0.97399999999999998"/>
    <n v="86.1"/>
  </r>
  <r>
    <s v="EMP013"/>
    <x v="1"/>
    <n v="3.62"/>
    <n v="5"/>
    <n v="4.3899999999999997"/>
    <n v="48"/>
    <n v="4"/>
    <n v="0.94199999999999995"/>
    <n v="79.099999999999994"/>
  </r>
  <r>
    <s v="EMP014"/>
    <x v="1"/>
    <n v="2.54"/>
    <n v="5"/>
    <n v="3.14"/>
    <n v="62"/>
    <n v="13"/>
    <n v="0.9"/>
    <n v="90.9"/>
  </r>
  <r>
    <s v="EMP015"/>
    <x v="4"/>
    <n v="2.64"/>
    <n v="4"/>
    <n v="3.29"/>
    <n v="51"/>
    <n v="12"/>
    <n v="0.95"/>
    <n v="81.8"/>
  </r>
  <r>
    <s v="EMP016"/>
    <x v="1"/>
    <n v="3.22"/>
    <n v="11"/>
    <n v="4.3"/>
    <n v="67"/>
    <n v="13"/>
    <n v="0.96199999999999997"/>
    <n v="81.8"/>
  </r>
  <r>
    <s v="EMP017"/>
    <x v="3"/>
    <n v="2.99"/>
    <n v="4"/>
    <n v="3.9"/>
    <n v="48"/>
    <n v="13"/>
    <n v="0.98399999999999999"/>
    <n v="90.4"/>
  </r>
  <r>
    <s v="EMP018"/>
    <x v="0"/>
    <n v="3.66"/>
    <n v="4"/>
    <n v="3.59"/>
    <n v="23"/>
    <n v="14"/>
    <n v="0.90700000000000003"/>
    <n v="95.3"/>
  </r>
  <r>
    <s v="EMP019"/>
    <x v="3"/>
    <n v="3.05"/>
    <n v="5"/>
    <n v="4.04"/>
    <n v="14"/>
    <n v="3"/>
    <n v="0.94599999999999995"/>
    <n v="62.9"/>
  </r>
  <r>
    <s v="EMP020"/>
    <x v="4"/>
    <n v="2.79"/>
    <n v="8"/>
    <n v="3.75"/>
    <n v="44"/>
    <n v="13"/>
    <n v="0.94799999999999995"/>
    <n v="88.6"/>
  </r>
  <r>
    <s v="EMP021"/>
    <x v="0"/>
    <n v="4.2300000000000004"/>
    <n v="5"/>
    <n v="5"/>
    <n v="96"/>
    <n v="6"/>
    <n v="0.91700000000000004"/>
    <n v="82.3"/>
  </r>
  <r>
    <s v="EMP022"/>
    <x v="4"/>
    <n v="3.39"/>
    <n v="10"/>
    <n v="3.59"/>
    <n v="84"/>
    <n v="2"/>
    <n v="0.96499999999999997"/>
    <n v="94.5"/>
  </r>
  <r>
    <s v="EMP023"/>
    <x v="2"/>
    <n v="3.53"/>
    <n v="2"/>
    <n v="3.45"/>
    <n v="27"/>
    <n v="3"/>
    <n v="0.97199999999999998"/>
    <n v="82.5"/>
  </r>
  <r>
    <s v="EMP024"/>
    <x v="0"/>
    <n v="2.79"/>
    <n v="9"/>
    <n v="3.73"/>
    <n v="85"/>
    <n v="5"/>
    <n v="0.94099999999999995"/>
    <n v="98"/>
  </r>
  <r>
    <s v="EMP025"/>
    <x v="0"/>
    <n v="3.23"/>
    <n v="8"/>
    <n v="3.75"/>
    <n v="18"/>
    <n v="9"/>
    <n v="1"/>
    <n v="78.2"/>
  </r>
  <r>
    <s v="EMP026"/>
    <x v="4"/>
    <n v="3.56"/>
    <n v="3"/>
    <n v="4.3600000000000003"/>
    <n v="83"/>
    <n v="2"/>
    <n v="0.94"/>
    <n v="62.7"/>
  </r>
  <r>
    <s v="EMP027"/>
    <x v="4"/>
    <n v="2.92"/>
    <n v="9"/>
    <n v="2.81"/>
    <n v="67"/>
    <n v="10"/>
    <n v="0.93700000000000006"/>
    <n v="95.5"/>
  </r>
  <r>
    <s v="EMP028"/>
    <x v="3"/>
    <n v="3.69"/>
    <n v="2"/>
    <n v="4.26"/>
    <n v="26"/>
    <n v="8"/>
    <n v="0.93600000000000005"/>
    <n v="76.599999999999994"/>
  </r>
  <r>
    <s v="EMP029"/>
    <x v="3"/>
    <n v="3.2"/>
    <n v="10"/>
    <n v="3.68"/>
    <n v="16"/>
    <n v="14"/>
    <n v="0.92600000000000005"/>
    <n v="69.2"/>
  </r>
  <r>
    <s v="EMP030"/>
    <x v="1"/>
    <n v="3.35"/>
    <n v="10"/>
    <n v="4.47"/>
    <n v="55"/>
    <n v="2"/>
    <n v="0.93300000000000005"/>
    <n v="85.2"/>
  </r>
  <r>
    <s v="EMP031"/>
    <x v="4"/>
    <n v="3.2"/>
    <n v="3"/>
    <n v="3.97"/>
    <n v="22"/>
    <n v="11"/>
    <n v="0.90700000000000003"/>
    <n v="82.6"/>
  </r>
  <r>
    <s v="EMP032"/>
    <x v="0"/>
    <n v="4.43"/>
    <n v="8"/>
    <n v="4.3099999999999996"/>
    <n v="49"/>
    <n v="13"/>
    <n v="0.94399999999999995"/>
    <n v="93.2"/>
  </r>
  <r>
    <s v="EMP033"/>
    <x v="0"/>
    <n v="3.49"/>
    <n v="11"/>
    <n v="3.77"/>
    <n v="51"/>
    <n v="5"/>
    <n v="0.95199999999999996"/>
    <n v="93.9"/>
  </r>
  <r>
    <s v="EMP034"/>
    <x v="4"/>
    <n v="2.97"/>
    <n v="4"/>
    <n v="4.26"/>
    <n v="18"/>
    <n v="7"/>
    <n v="0.88200000000000001"/>
    <n v="86"/>
  </r>
  <r>
    <s v="EMP035"/>
    <x v="1"/>
    <n v="3.91"/>
    <n v="8"/>
    <n v="5"/>
    <n v="59"/>
    <n v="8"/>
    <n v="0.94699999999999995"/>
    <n v="76.2"/>
  </r>
  <r>
    <s v="EMP036"/>
    <x v="3"/>
    <n v="2.89"/>
    <n v="11"/>
    <n v="3.56"/>
    <n v="36"/>
    <n v="1"/>
    <n v="0.95099999999999996"/>
    <n v="87.9"/>
  </r>
  <r>
    <s v="EMP037"/>
    <x v="1"/>
    <n v="3.6"/>
    <n v="10"/>
    <n v="3.94"/>
    <n v="75"/>
    <n v="6"/>
    <n v="0.96499999999999997"/>
    <n v="86.7"/>
  </r>
  <r>
    <s v="EMP038"/>
    <x v="0"/>
    <n v="2.52"/>
    <n v="5"/>
    <n v="3.71"/>
    <n v="14"/>
    <n v="1"/>
    <n v="0.98599999999999999"/>
    <n v="90.7"/>
  </r>
  <r>
    <s v="EMP039"/>
    <x v="0"/>
    <n v="2.84"/>
    <n v="2"/>
    <n v="4.96"/>
    <n v="38"/>
    <n v="2"/>
    <n v="0.97599999999999998"/>
    <n v="76.3"/>
  </r>
  <r>
    <s v="EMP040"/>
    <x v="3"/>
    <n v="3.6"/>
    <n v="3"/>
    <n v="3.74"/>
    <n v="46"/>
    <n v="1"/>
    <n v="0.93100000000000005"/>
    <n v="81"/>
  </r>
  <r>
    <s v="EMP041"/>
    <x v="1"/>
    <n v="3.87"/>
    <n v="2"/>
    <n v="3.56"/>
    <n v="47"/>
    <n v="11"/>
    <n v="0.92800000000000005"/>
    <n v="90.1"/>
  </r>
  <r>
    <s v="EMP042"/>
    <x v="2"/>
    <n v="3.59"/>
    <n v="6"/>
    <n v="3.65"/>
    <n v="92"/>
    <n v="5"/>
    <n v="0.96699999999999997"/>
    <n v="97.5"/>
  </r>
  <r>
    <s v="EMP043"/>
    <x v="3"/>
    <n v="3.44"/>
    <n v="6"/>
    <n v="3.92"/>
    <n v="17"/>
    <n v="10"/>
    <n v="0.93400000000000005"/>
    <n v="94.7"/>
  </r>
  <r>
    <s v="EMP044"/>
    <x v="2"/>
    <n v="3.35"/>
    <n v="8"/>
    <n v="3.52"/>
    <n v="74"/>
    <n v="9"/>
    <n v="0.91300000000000003"/>
    <n v="85.8"/>
  </r>
  <r>
    <s v="EMP045"/>
    <x v="3"/>
    <n v="2.76"/>
    <n v="10"/>
    <n v="3.78"/>
    <n v="95"/>
    <n v="6"/>
    <n v="1"/>
    <n v="80.099999999999994"/>
  </r>
  <r>
    <s v="EMP046"/>
    <x v="3"/>
    <n v="3.14"/>
    <n v="10"/>
    <n v="4.09"/>
    <n v="26"/>
    <n v="11"/>
    <n v="0.94099999999999995"/>
    <n v="89"/>
  </r>
  <r>
    <s v="EMP047"/>
    <x v="3"/>
    <n v="3.27"/>
    <n v="4"/>
    <n v="3.93"/>
    <n v="80"/>
    <n v="11"/>
    <n v="0.93100000000000005"/>
    <n v="74.099999999999994"/>
  </r>
  <r>
    <s v="EMP048"/>
    <x v="2"/>
    <n v="4.03"/>
    <n v="4"/>
    <n v="4.5"/>
    <n v="98"/>
    <n v="1"/>
    <n v="0.88400000000000001"/>
    <n v="76.8"/>
  </r>
  <r>
    <s v="EMP049"/>
    <x v="0"/>
    <n v="3.67"/>
    <n v="4"/>
    <n v="3.81"/>
    <n v="54"/>
    <n v="13"/>
    <n v="0.97599999999999998"/>
    <n v="100"/>
  </r>
  <r>
    <s v="EMP050"/>
    <x v="2"/>
    <n v="2.62"/>
    <n v="5"/>
    <n v="3.88"/>
    <n v="13"/>
    <n v="1"/>
    <n v="0.92"/>
    <n v="89"/>
  </r>
  <r>
    <s v="EMP051"/>
    <x v="4"/>
    <n v="3.66"/>
    <n v="9"/>
    <n v="4.16"/>
    <n v="45"/>
    <n v="2"/>
    <n v="0.95099999999999996"/>
    <n v="81.5"/>
  </r>
  <r>
    <s v="EMP052"/>
    <x v="2"/>
    <n v="3.31"/>
    <n v="7"/>
    <n v="5"/>
    <n v="79"/>
    <n v="9"/>
    <n v="0.97899999999999998"/>
    <n v="93.3"/>
  </r>
  <r>
    <s v="EMP053"/>
    <x v="3"/>
    <n v="3.16"/>
    <n v="9"/>
    <n v="3.53"/>
    <n v="40"/>
    <n v="3"/>
    <n v="0.92100000000000004"/>
    <n v="97.9"/>
  </r>
  <r>
    <s v="EMP054"/>
    <x v="4"/>
    <n v="3.81"/>
    <n v="2"/>
    <n v="5"/>
    <n v="28"/>
    <n v="1"/>
    <n v="0.95199999999999996"/>
    <n v="80.599999999999994"/>
  </r>
  <r>
    <s v="EMP055"/>
    <x v="0"/>
    <n v="4.0199999999999996"/>
    <n v="9"/>
    <n v="3.29"/>
    <n v="70"/>
    <n v="5"/>
    <n v="0.996"/>
    <n v="80.7"/>
  </r>
  <r>
    <s v="EMP056"/>
    <x v="4"/>
    <n v="3.97"/>
    <n v="5"/>
    <n v="4.1399999999999997"/>
    <n v="63"/>
    <n v="7"/>
    <n v="0.876"/>
    <n v="79.5"/>
  </r>
  <r>
    <s v="EMP057"/>
    <x v="0"/>
    <n v="3.08"/>
    <n v="2"/>
    <n v="3.8"/>
    <n v="48"/>
    <n v="6"/>
    <n v="0.92600000000000005"/>
    <n v="94.6"/>
  </r>
  <r>
    <s v="EMP058"/>
    <x v="0"/>
    <n v="3.35"/>
    <n v="9"/>
    <n v="3.51"/>
    <n v="83"/>
    <n v="12"/>
    <n v="0.92300000000000004"/>
    <n v="94.7"/>
  </r>
  <r>
    <s v="EMP059"/>
    <x v="3"/>
    <n v="3.67"/>
    <n v="5"/>
    <n v="4.42"/>
    <n v="99"/>
    <n v="1"/>
    <n v="0.94399999999999995"/>
    <n v="98.9"/>
  </r>
  <r>
    <s v="EMP060"/>
    <x v="4"/>
    <n v="3.99"/>
    <n v="7"/>
    <n v="4.3600000000000003"/>
    <n v="28"/>
    <n v="5"/>
    <n v="0.94899999999999995"/>
    <n v="95.1"/>
  </r>
  <r>
    <s v="EMP061"/>
    <x v="1"/>
    <n v="3.26"/>
    <n v="9"/>
    <n v="3.71"/>
    <n v="48"/>
    <n v="5"/>
    <n v="0.91800000000000004"/>
    <n v="68.7"/>
  </r>
  <r>
    <s v="EMP062"/>
    <x v="4"/>
    <n v="3.41"/>
    <n v="5"/>
    <n v="2.74"/>
    <n v="76"/>
    <n v="6"/>
    <n v="0.93"/>
    <n v="87.8"/>
  </r>
  <r>
    <s v="EMP063"/>
    <x v="4"/>
    <n v="2.95"/>
    <n v="4"/>
    <n v="3.75"/>
    <n v="54"/>
    <n v="3"/>
    <n v="0.92700000000000005"/>
    <n v="74.400000000000006"/>
  </r>
  <r>
    <s v="EMP064"/>
    <x v="2"/>
    <n v="2.9"/>
    <n v="10"/>
    <n v="4.08"/>
    <n v="22"/>
    <n v="5"/>
    <n v="0.93899999999999995"/>
    <n v="79.900000000000006"/>
  </r>
  <r>
    <s v="EMP065"/>
    <x v="0"/>
    <n v="3.91"/>
    <n v="4"/>
    <n v="4"/>
    <n v="67"/>
    <n v="7"/>
    <n v="0.95699999999999996"/>
    <n v="86.7"/>
  </r>
  <r>
    <s v="EMP066"/>
    <x v="4"/>
    <n v="4.18"/>
    <n v="10"/>
    <n v="4.45"/>
    <n v="29"/>
    <n v="5"/>
    <n v="0.97699999999999998"/>
    <n v="93.4"/>
  </r>
  <r>
    <s v="EMP067"/>
    <x v="1"/>
    <n v="3.46"/>
    <n v="3"/>
    <n v="5"/>
    <n v="81"/>
    <n v="5"/>
    <n v="0.98199999999999998"/>
    <n v="76.099999999999994"/>
  </r>
  <r>
    <s v="EMP068"/>
    <x v="0"/>
    <n v="4"/>
    <n v="3"/>
    <n v="4.25"/>
    <n v="70"/>
    <n v="5"/>
    <n v="0.97"/>
    <n v="61.8"/>
  </r>
  <r>
    <s v="EMP069"/>
    <x v="4"/>
    <n v="3.68"/>
    <n v="3"/>
    <n v="4.34"/>
    <n v="48"/>
    <n v="10"/>
    <n v="0.92400000000000004"/>
    <n v="86.8"/>
  </r>
  <r>
    <s v="EMP070"/>
    <x v="3"/>
    <n v="3.18"/>
    <n v="7"/>
    <n v="4.09"/>
    <n v="10"/>
    <n v="10"/>
    <n v="0.95"/>
    <n v="100"/>
  </r>
  <r>
    <s v="EMP071"/>
    <x v="1"/>
    <n v="3.68"/>
    <n v="4"/>
    <n v="4.7"/>
    <n v="12"/>
    <n v="3"/>
    <n v="1"/>
    <n v="83"/>
  </r>
  <r>
    <s v="EMP072"/>
    <x v="4"/>
    <n v="4.2699999999999996"/>
    <n v="10"/>
    <n v="4.32"/>
    <n v="86"/>
    <n v="1"/>
    <n v="0.98"/>
    <n v="85.5"/>
  </r>
  <r>
    <s v="EMP073"/>
    <x v="1"/>
    <n v="3.48"/>
    <n v="5"/>
    <n v="4.45"/>
    <n v="71"/>
    <n v="5"/>
    <n v="0.93700000000000006"/>
    <n v="100"/>
  </r>
  <r>
    <s v="EMP074"/>
    <x v="2"/>
    <n v="4.28"/>
    <n v="2"/>
    <n v="5"/>
    <n v="72"/>
    <n v="14"/>
    <n v="0.997"/>
    <n v="90.9"/>
  </r>
  <r>
    <s v="EMP075"/>
    <x v="2"/>
    <n v="2.19"/>
    <n v="5"/>
    <n v="4.1399999999999997"/>
    <n v="34"/>
    <n v="9"/>
    <n v="0.93799999999999994"/>
    <n v="87.2"/>
  </r>
  <r>
    <s v="EMP076"/>
    <x v="3"/>
    <n v="3.91"/>
    <n v="2"/>
    <n v="3.84"/>
    <n v="65"/>
    <n v="14"/>
    <n v="0.93"/>
    <n v="89.4"/>
  </r>
  <r>
    <s v="EMP077"/>
    <x v="1"/>
    <n v="3.54"/>
    <n v="6"/>
    <n v="4.2699999999999996"/>
    <n v="42"/>
    <n v="1"/>
    <n v="0.99199999999999999"/>
    <n v="87.5"/>
  </r>
  <r>
    <s v="EMP078"/>
    <x v="2"/>
    <n v="3.35"/>
    <n v="5"/>
    <n v="4.68"/>
    <n v="47"/>
    <n v="3"/>
    <n v="0.91100000000000003"/>
    <n v="73.599999999999994"/>
  </r>
  <r>
    <s v="EMP079"/>
    <x v="0"/>
    <n v="3.55"/>
    <n v="9"/>
    <n v="4.3"/>
    <n v="15"/>
    <n v="13"/>
    <n v="0.89300000000000002"/>
    <n v="71.599999999999994"/>
  </r>
  <r>
    <s v="EMP080"/>
    <x v="3"/>
    <n v="2.5099999999999998"/>
    <n v="9"/>
    <n v="4.6399999999999997"/>
    <n v="67"/>
    <n v="13"/>
    <n v="0.97799999999999998"/>
    <n v="100"/>
  </r>
  <r>
    <s v="EMP081"/>
    <x v="0"/>
    <n v="3.39"/>
    <n v="8"/>
    <n v="3.6"/>
    <n v="53"/>
    <n v="4"/>
    <n v="0.95099999999999996"/>
    <n v="86.8"/>
  </r>
  <r>
    <s v="EMP082"/>
    <x v="0"/>
    <n v="3.68"/>
    <n v="4"/>
    <n v="3.48"/>
    <n v="54"/>
    <n v="14"/>
    <n v="0.95399999999999996"/>
    <n v="86"/>
  </r>
  <r>
    <s v="EMP083"/>
    <x v="1"/>
    <n v="4.24"/>
    <n v="2"/>
    <n v="3.67"/>
    <n v="41"/>
    <n v="1"/>
    <n v="0.93899999999999995"/>
    <n v="84.1"/>
  </r>
  <r>
    <s v="EMP084"/>
    <x v="0"/>
    <n v="3.24"/>
    <n v="2"/>
    <n v="3.24"/>
    <n v="54"/>
    <n v="1"/>
    <n v="0.94299999999999995"/>
    <n v="92.8"/>
  </r>
  <r>
    <s v="EMP085"/>
    <x v="0"/>
    <n v="3.1"/>
    <n v="4"/>
    <n v="4.07"/>
    <n v="70"/>
    <n v="8"/>
    <n v="0.93600000000000005"/>
    <n v="100"/>
  </r>
  <r>
    <s v="EMP086"/>
    <x v="0"/>
    <n v="3.25"/>
    <n v="7"/>
    <n v="3.74"/>
    <n v="56"/>
    <n v="2"/>
    <n v="0.93100000000000005"/>
    <n v="90.2"/>
  </r>
  <r>
    <s v="EMP087"/>
    <x v="0"/>
    <n v="3.96"/>
    <n v="8"/>
    <n v="4.74"/>
    <n v="30"/>
    <n v="12"/>
    <n v="0.93899999999999995"/>
    <n v="79.099999999999994"/>
  </r>
  <r>
    <s v="EMP088"/>
    <x v="1"/>
    <n v="3.66"/>
    <n v="7"/>
    <n v="3.23"/>
    <n v="89"/>
    <n v="8"/>
    <n v="0.93799999999999994"/>
    <n v="83.7"/>
  </r>
  <r>
    <s v="EMP089"/>
    <x v="1"/>
    <n v="3.24"/>
    <n v="7"/>
    <n v="4.93"/>
    <n v="94"/>
    <n v="7"/>
    <n v="0.92500000000000004"/>
    <n v="95.7"/>
  </r>
  <r>
    <s v="EMP090"/>
    <x v="2"/>
    <n v="3.76"/>
    <n v="7"/>
    <n v="3.41"/>
    <n v="84"/>
    <n v="10"/>
    <n v="0.93400000000000005"/>
    <n v="79.2"/>
  </r>
  <r>
    <s v="EMP091"/>
    <x v="3"/>
    <n v="3.55"/>
    <n v="4"/>
    <n v="3.26"/>
    <n v="45"/>
    <n v="10"/>
    <n v="0.875"/>
    <n v="93.5"/>
  </r>
  <r>
    <s v="EMP092"/>
    <x v="2"/>
    <n v="3.98"/>
    <n v="7"/>
    <n v="3.51"/>
    <n v="28"/>
    <n v="2"/>
    <n v="0.97099999999999997"/>
    <n v="61.8"/>
  </r>
  <r>
    <s v="EMP093"/>
    <x v="0"/>
    <n v="3.15"/>
    <n v="9"/>
    <n v="5"/>
    <n v="29"/>
    <n v="6"/>
    <n v="0.96199999999999997"/>
    <n v="82.7"/>
  </r>
  <r>
    <s v="EMP094"/>
    <x v="1"/>
    <n v="3.34"/>
    <n v="3"/>
    <n v="3.98"/>
    <n v="66"/>
    <n v="6"/>
    <n v="0.94699999999999995"/>
    <n v="91.3"/>
  </r>
  <r>
    <s v="EMP095"/>
    <x v="0"/>
    <n v="3.3"/>
    <n v="6"/>
    <n v="4.32"/>
    <n v="27"/>
    <n v="3"/>
    <n v="0.95699999999999996"/>
    <n v="97.7"/>
  </r>
  <r>
    <s v="EMP096"/>
    <x v="1"/>
    <n v="2.77"/>
    <n v="2"/>
    <n v="3.89"/>
    <n v="56"/>
    <n v="11"/>
    <n v="0.95799999999999996"/>
    <n v="76.8"/>
  </r>
  <r>
    <s v="EMP097"/>
    <x v="2"/>
    <n v="3.65"/>
    <n v="2"/>
    <n v="3.95"/>
    <n v="58"/>
    <n v="2"/>
    <n v="0.92800000000000005"/>
    <n v="70"/>
  </r>
  <r>
    <s v="EMP098"/>
    <x v="1"/>
    <n v="3.63"/>
    <n v="6"/>
    <n v="3.7"/>
    <n v="23"/>
    <n v="12"/>
    <n v="0.93400000000000005"/>
    <n v="82.4"/>
  </r>
  <r>
    <s v="EMP099"/>
    <x v="2"/>
    <n v="3.5"/>
    <n v="4"/>
    <n v="4.03"/>
    <n v="24"/>
    <n v="1"/>
    <n v="0.96599999999999997"/>
    <n v="73.7"/>
  </r>
  <r>
    <s v="EMP100"/>
    <x v="1"/>
    <n v="3.38"/>
    <n v="5"/>
    <n v="4.3"/>
    <n v="40"/>
    <n v="6"/>
    <n v="0.95599999999999996"/>
    <n v="83.5"/>
  </r>
  <r>
    <s v="EMP101"/>
    <x v="1"/>
    <n v="2.79"/>
    <n v="4"/>
    <n v="5"/>
    <n v="10"/>
    <n v="12"/>
    <n v="1"/>
    <n v="84.9"/>
  </r>
  <r>
    <s v="EMP102"/>
    <x v="3"/>
    <n v="3.29"/>
    <n v="2"/>
    <n v="2.88"/>
    <n v="63"/>
    <n v="5"/>
    <n v="0.999"/>
    <n v="71.8"/>
  </r>
  <r>
    <s v="EMP103"/>
    <x v="0"/>
    <n v="3.33"/>
    <n v="2"/>
    <n v="4.97"/>
    <n v="12"/>
    <n v="14"/>
    <n v="0.97799999999999998"/>
    <n v="93"/>
  </r>
  <r>
    <s v="EMP104"/>
    <x v="3"/>
    <n v="3.1"/>
    <n v="6"/>
    <n v="4.32"/>
    <n v="25"/>
    <n v="14"/>
    <n v="0.92700000000000005"/>
    <n v="83.4"/>
  </r>
  <r>
    <s v="EMP105"/>
    <x v="0"/>
    <n v="3.42"/>
    <n v="7"/>
    <n v="3.78"/>
    <n v="96"/>
    <n v="11"/>
    <n v="0.93300000000000005"/>
    <n v="95.8"/>
  </r>
  <r>
    <s v="EMP106"/>
    <x v="2"/>
    <n v="3.7"/>
    <n v="4"/>
    <n v="3.67"/>
    <n v="66"/>
    <n v="9"/>
    <n v="0.92"/>
    <n v="66.599999999999994"/>
  </r>
  <r>
    <s v="EMP107"/>
    <x v="2"/>
    <n v="4.4400000000000004"/>
    <n v="10"/>
    <n v="4.63"/>
    <n v="84"/>
    <n v="1"/>
    <n v="0.95799999999999996"/>
    <n v="74.8"/>
  </r>
  <r>
    <s v="EMP108"/>
    <x v="0"/>
    <n v="3.59"/>
    <n v="6"/>
    <n v="4.1399999999999997"/>
    <n v="21"/>
    <n v="7"/>
    <n v="0.86799999999999999"/>
    <n v="90.2"/>
  </r>
  <r>
    <s v="EMP109"/>
    <x v="2"/>
    <n v="3.63"/>
    <n v="9"/>
    <n v="3.08"/>
    <n v="83"/>
    <n v="5"/>
    <n v="0.93600000000000005"/>
    <n v="77"/>
  </r>
  <r>
    <s v="EMP110"/>
    <x v="1"/>
    <n v="3.46"/>
    <n v="2"/>
    <n v="4.22"/>
    <n v="25"/>
    <n v="5"/>
    <n v="0.94099999999999995"/>
    <n v="83.4"/>
  </r>
  <r>
    <s v="EMP111"/>
    <x v="4"/>
    <n v="2.54"/>
    <n v="6"/>
    <n v="4.6900000000000004"/>
    <n v="81"/>
    <n v="14"/>
    <n v="0.90400000000000003"/>
    <n v="85"/>
  </r>
  <r>
    <s v="EMP112"/>
    <x v="4"/>
    <n v="3.49"/>
    <n v="4"/>
    <n v="4.51"/>
    <n v="85"/>
    <n v="2"/>
    <n v="0.97399999999999998"/>
    <n v="86.6"/>
  </r>
  <r>
    <s v="EMP113"/>
    <x v="0"/>
    <n v="3.53"/>
    <n v="2"/>
    <n v="3.62"/>
    <n v="33"/>
    <n v="11"/>
    <n v="0.91600000000000004"/>
    <n v="78.2"/>
  </r>
  <r>
    <s v="EMP114"/>
    <x v="1"/>
    <n v="4.7300000000000004"/>
    <n v="5"/>
    <n v="3.19"/>
    <n v="37"/>
    <n v="3"/>
    <n v="0.95799999999999996"/>
    <n v="86.5"/>
  </r>
  <r>
    <s v="EMP115"/>
    <x v="0"/>
    <n v="3.4"/>
    <n v="6"/>
    <n v="3.8"/>
    <n v="17"/>
    <n v="7"/>
    <n v="1"/>
    <n v="77.2"/>
  </r>
  <r>
    <s v="EMP116"/>
    <x v="2"/>
    <n v="3.65"/>
    <n v="8"/>
    <n v="5"/>
    <n v="45"/>
    <n v="6"/>
    <n v="0.90200000000000002"/>
    <n v="91.7"/>
  </r>
  <r>
    <s v="EMP117"/>
    <x v="0"/>
    <n v="3.48"/>
    <n v="2"/>
    <n v="3.07"/>
    <n v="99"/>
    <n v="12"/>
    <n v="0.94599999999999995"/>
    <n v="83.9"/>
  </r>
  <r>
    <s v="EMP118"/>
    <x v="4"/>
    <n v="2.92"/>
    <n v="4"/>
    <n v="3.49"/>
    <n v="17"/>
    <n v="2"/>
    <n v="0.93799999999999994"/>
    <n v="86.6"/>
  </r>
  <r>
    <s v="EMP119"/>
    <x v="0"/>
    <n v="4.07"/>
    <n v="3"/>
    <n v="4.24"/>
    <n v="67"/>
    <n v="6"/>
    <n v="0.93200000000000005"/>
    <n v="100"/>
  </r>
  <r>
    <s v="EMP120"/>
    <x v="3"/>
    <n v="3.88"/>
    <n v="10"/>
    <n v="3.93"/>
    <n v="69"/>
    <n v="2"/>
    <n v="0.97299999999999998"/>
    <n v="73.900000000000006"/>
  </r>
  <r>
    <m/>
    <x v="5"/>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s v="LST0001"/>
    <x v="0"/>
    <x v="0"/>
    <x v="0"/>
    <n v="4"/>
    <n v="1"/>
    <x v="0"/>
    <n v="2021"/>
    <x v="0"/>
    <s v="Under Contract"/>
    <n v="234.69"/>
    <n v="0.312"/>
    <n v="2"/>
    <d v="2023-08-28T00:00:00"/>
  </r>
  <r>
    <s v="LST0002"/>
    <x v="0"/>
    <x v="1"/>
    <x v="1"/>
    <n v="2"/>
    <n v="2.5"/>
    <x v="1"/>
    <n v="1984"/>
    <x v="1"/>
    <s v="Active"/>
    <n v="257.52999999999997"/>
    <n v="0.53200000000000003"/>
    <n v="2"/>
    <d v="2023-08-15T00:00:00"/>
  </r>
  <r>
    <s v="LST0003"/>
    <x v="1"/>
    <x v="0"/>
    <x v="2"/>
    <n v="3"/>
    <n v="2.5"/>
    <x v="2"/>
    <n v="2016"/>
    <x v="2"/>
    <s v="Sold"/>
    <n v="349.12"/>
    <n v="0.13400000000000001"/>
    <n v="1"/>
    <d v="2023-09-23T00:00:00"/>
  </r>
  <r>
    <s v="LST0004"/>
    <x v="0"/>
    <x v="2"/>
    <x v="3"/>
    <n v="3"/>
    <n v="2.5"/>
    <x v="3"/>
    <n v="1991"/>
    <x v="3"/>
    <s v="Under Contract"/>
    <n v="309.79000000000002"/>
    <n v="0.1"/>
    <n v="0"/>
    <d v="2023-10-16T00:00:00"/>
  </r>
  <r>
    <s v="LST0005"/>
    <x v="1"/>
    <x v="0"/>
    <x v="4"/>
    <n v="4"/>
    <n v="3"/>
    <x v="3"/>
    <n v="1983"/>
    <x v="4"/>
    <s v="Sold"/>
    <n v="197.87"/>
    <n v="0.1"/>
    <n v="1"/>
    <d v="2023-12-29T00:00:00"/>
  </r>
  <r>
    <s v="LST0006"/>
    <x v="2"/>
    <x v="3"/>
    <x v="4"/>
    <n v="2"/>
    <n v="3.5"/>
    <x v="4"/>
    <n v="1995"/>
    <x v="5"/>
    <s v="Under Contract"/>
    <n v="244.74"/>
    <n v="0.47399999999999998"/>
    <n v="3"/>
    <d v="2023-07-24T00:00:00"/>
  </r>
  <r>
    <s v="LST0007"/>
    <x v="0"/>
    <x v="3"/>
    <x v="5"/>
    <n v="4"/>
    <n v="2.5"/>
    <x v="5"/>
    <n v="1997"/>
    <x v="6"/>
    <s v="Active"/>
    <n v="383.85"/>
    <n v="0.34799999999999998"/>
    <n v="2"/>
    <d v="2023-08-20T00:00:00"/>
  </r>
  <r>
    <s v="LST0008"/>
    <x v="0"/>
    <x v="1"/>
    <x v="6"/>
    <n v="3"/>
    <n v="2"/>
    <x v="6"/>
    <n v="1992"/>
    <x v="7"/>
    <s v="Under Contract"/>
    <n v="262.82"/>
    <n v="0.24199999999999999"/>
    <n v="2"/>
    <d v="2023-07-07T00:00:00"/>
  </r>
  <r>
    <s v="LST0009"/>
    <x v="3"/>
    <x v="2"/>
    <x v="7"/>
    <n v="5"/>
    <n v="3"/>
    <x v="7"/>
    <n v="1983"/>
    <x v="8"/>
    <s v="Active"/>
    <n v="323.31"/>
    <n v="0.29199999999999998"/>
    <n v="2"/>
    <d v="2023-12-22T00:00:00"/>
  </r>
  <r>
    <s v="LST0010"/>
    <x v="0"/>
    <x v="0"/>
    <x v="8"/>
    <n v="2"/>
    <n v="2"/>
    <x v="8"/>
    <n v="1993"/>
    <x v="9"/>
    <s v="Active"/>
    <n v="427.21"/>
    <n v="0.1"/>
    <n v="2"/>
    <d v="2023-12-27T00:00:00"/>
  </r>
  <r>
    <s v="LST0011"/>
    <x v="3"/>
    <x v="3"/>
    <x v="7"/>
    <n v="3"/>
    <n v="2.5"/>
    <x v="9"/>
    <n v="1971"/>
    <x v="10"/>
    <s v="Active"/>
    <n v="242.94"/>
    <n v="0.61699999999999999"/>
    <n v="1"/>
    <d v="2023-08-03T00:00:00"/>
  </r>
  <r>
    <s v="LST0012"/>
    <x v="1"/>
    <x v="3"/>
    <x v="7"/>
    <n v="2"/>
    <n v="1"/>
    <x v="10"/>
    <n v="2014"/>
    <x v="11"/>
    <s v="Under Contract"/>
    <n v="207.73"/>
    <n v="0.26900000000000002"/>
    <n v="3"/>
    <d v="2023-08-16T00:00:00"/>
  </r>
  <r>
    <s v="LST0013"/>
    <x v="1"/>
    <x v="2"/>
    <x v="9"/>
    <n v="5"/>
    <n v="1"/>
    <x v="11"/>
    <n v="1995"/>
    <x v="12"/>
    <s v="Under Contract"/>
    <n v="224.27"/>
    <n v="0.26600000000000001"/>
    <n v="2"/>
    <d v="2023-07-13T00:00:00"/>
  </r>
  <r>
    <s v="LST0014"/>
    <x v="1"/>
    <x v="3"/>
    <x v="10"/>
    <n v="4"/>
    <n v="3.5"/>
    <x v="12"/>
    <n v="1983"/>
    <x v="13"/>
    <s v="Under Contract"/>
    <n v="80.91"/>
    <n v="0.35899999999999999"/>
    <n v="2"/>
    <d v="2023-08-24T00:00:00"/>
  </r>
  <r>
    <s v="LST0015"/>
    <x v="2"/>
    <x v="2"/>
    <x v="10"/>
    <n v="3"/>
    <n v="3"/>
    <x v="13"/>
    <n v="2020"/>
    <x v="14"/>
    <s v="Active"/>
    <n v="92.25"/>
    <n v="0.32200000000000001"/>
    <n v="2"/>
    <d v="2023-12-19T00:00:00"/>
  </r>
  <r>
    <s v="LST0016"/>
    <x v="3"/>
    <x v="0"/>
    <x v="11"/>
    <n v="4"/>
    <n v="2.5"/>
    <x v="14"/>
    <n v="1976"/>
    <x v="15"/>
    <s v="Sold"/>
    <n v="198.1"/>
    <n v="0.28399999999999997"/>
    <n v="0"/>
    <d v="2023-07-17T00:00:00"/>
  </r>
  <r>
    <s v="LST0017"/>
    <x v="1"/>
    <x v="3"/>
    <x v="12"/>
    <n v="4"/>
    <n v="2.5"/>
    <x v="15"/>
    <n v="1972"/>
    <x v="13"/>
    <s v="Sold"/>
    <n v="158.9"/>
    <n v="0.13100000000000001"/>
    <n v="1"/>
    <d v="2023-08-24T00:00:00"/>
  </r>
  <r>
    <s v="LST0018"/>
    <x v="3"/>
    <x v="1"/>
    <x v="13"/>
    <n v="3"/>
    <n v="2"/>
    <x v="16"/>
    <n v="2016"/>
    <x v="16"/>
    <s v="Under Contract"/>
    <n v="341.88"/>
    <n v="0.32100000000000001"/>
    <n v="2"/>
    <d v="2023-10-09T00:00:00"/>
  </r>
  <r>
    <s v="LST0019"/>
    <x v="2"/>
    <x v="2"/>
    <x v="14"/>
    <n v="3"/>
    <n v="2"/>
    <x v="15"/>
    <n v="1992"/>
    <x v="17"/>
    <s v="Under Contract"/>
    <n v="166.21"/>
    <n v="0.53200000000000003"/>
    <n v="0"/>
    <d v="2023-10-28T00:00:00"/>
  </r>
  <r>
    <s v="LST0020"/>
    <x v="0"/>
    <x v="3"/>
    <x v="15"/>
    <n v="3"/>
    <n v="2"/>
    <x v="17"/>
    <n v="2015"/>
    <x v="18"/>
    <s v="Active"/>
    <n v="141.87"/>
    <n v="0.45200000000000001"/>
    <n v="2"/>
    <d v="2023-10-30T00:00:00"/>
  </r>
  <r>
    <s v="LST0021"/>
    <x v="3"/>
    <x v="2"/>
    <x v="16"/>
    <n v="2"/>
    <n v="2.5"/>
    <x v="11"/>
    <n v="2012"/>
    <x v="19"/>
    <s v="Active"/>
    <n v="301.26"/>
    <n v="0.48899999999999999"/>
    <n v="1"/>
    <d v="2023-09-22T00:00:00"/>
  </r>
  <r>
    <s v="LST0022"/>
    <x v="3"/>
    <x v="0"/>
    <x v="17"/>
    <n v="4"/>
    <n v="3"/>
    <x v="18"/>
    <n v="2016"/>
    <x v="20"/>
    <s v="Sold"/>
    <n v="274.12"/>
    <n v="0.17299999999999999"/>
    <n v="2"/>
    <d v="2023-10-20T00:00:00"/>
  </r>
  <r>
    <s v="LST0023"/>
    <x v="0"/>
    <x v="3"/>
    <x v="18"/>
    <n v="5"/>
    <n v="2.5"/>
    <x v="19"/>
    <n v="2014"/>
    <x v="21"/>
    <s v="Under Contract"/>
    <n v="203.19"/>
    <n v="0.10199999999999999"/>
    <n v="1"/>
    <d v="2023-12-15T00:00:00"/>
  </r>
  <r>
    <s v="LST0024"/>
    <x v="0"/>
    <x v="4"/>
    <x v="19"/>
    <n v="4"/>
    <n v="2"/>
    <x v="20"/>
    <n v="1987"/>
    <x v="22"/>
    <s v="Sold"/>
    <n v="91.67"/>
    <n v="0.23100000000000001"/>
    <n v="2"/>
    <d v="2023-12-23T00:00:00"/>
  </r>
  <r>
    <s v="LST0025"/>
    <x v="0"/>
    <x v="0"/>
    <x v="20"/>
    <n v="3"/>
    <n v="3.5"/>
    <x v="21"/>
    <n v="2007"/>
    <x v="23"/>
    <s v="Active"/>
    <n v="196.24"/>
    <n v="0.25800000000000001"/>
    <n v="2"/>
    <d v="2023-08-11T00:00:00"/>
  </r>
  <r>
    <s v="LST0026"/>
    <x v="2"/>
    <x v="2"/>
    <x v="21"/>
    <n v="3"/>
    <n v="3"/>
    <x v="22"/>
    <n v="2004"/>
    <x v="24"/>
    <s v="Under Contract"/>
    <n v="211.89"/>
    <n v="0.41399999999999998"/>
    <n v="1"/>
    <d v="2023-08-02T00:00:00"/>
  </r>
  <r>
    <s v="LST0027"/>
    <x v="1"/>
    <x v="2"/>
    <x v="22"/>
    <n v="4"/>
    <n v="2.5"/>
    <x v="23"/>
    <n v="2020"/>
    <x v="25"/>
    <s v="Sold"/>
    <n v="125.29"/>
    <n v="0.1"/>
    <n v="2"/>
    <d v="2023-11-24T00:00:00"/>
  </r>
  <r>
    <s v="LST0028"/>
    <x v="1"/>
    <x v="1"/>
    <x v="23"/>
    <n v="4"/>
    <n v="2.5"/>
    <x v="24"/>
    <n v="1984"/>
    <x v="26"/>
    <s v="Under Contract"/>
    <n v="283.67"/>
    <n v="0.47899999999999998"/>
    <n v="2"/>
    <d v="2023-07-22T00:00:00"/>
  </r>
  <r>
    <s v="LST0029"/>
    <x v="0"/>
    <x v="4"/>
    <x v="24"/>
    <n v="4"/>
    <n v="2.5"/>
    <x v="25"/>
    <n v="1994"/>
    <x v="27"/>
    <s v="Active"/>
    <n v="175.97"/>
    <n v="0.22600000000000001"/>
    <n v="2"/>
    <d v="2023-09-29T00:00:00"/>
  </r>
  <r>
    <s v="LST0030"/>
    <x v="1"/>
    <x v="4"/>
    <x v="25"/>
    <n v="4"/>
    <n v="2"/>
    <x v="26"/>
    <n v="2006"/>
    <x v="28"/>
    <s v="Sold"/>
    <n v="206.33"/>
    <n v="0.186"/>
    <n v="3"/>
    <d v="2023-09-28T00:00:00"/>
  </r>
  <r>
    <s v="LST0031"/>
    <x v="3"/>
    <x v="4"/>
    <x v="24"/>
    <n v="4"/>
    <n v="2"/>
    <x v="27"/>
    <n v="1997"/>
    <x v="29"/>
    <s v="Under Contract"/>
    <n v="181.42"/>
    <n v="0.1"/>
    <n v="2"/>
    <d v="2023-11-13T00:00:00"/>
  </r>
  <r>
    <s v="LST0032"/>
    <x v="1"/>
    <x v="4"/>
    <x v="26"/>
    <n v="2"/>
    <n v="3"/>
    <x v="28"/>
    <n v="1979"/>
    <x v="30"/>
    <s v="Active"/>
    <n v="447.13"/>
    <n v="0.1"/>
    <n v="1"/>
    <d v="2023-10-24T00:00:00"/>
  </r>
  <r>
    <s v="LST0033"/>
    <x v="3"/>
    <x v="0"/>
    <x v="27"/>
    <n v="2"/>
    <n v="1"/>
    <x v="26"/>
    <n v="2008"/>
    <x v="31"/>
    <s v="Under Contract"/>
    <n v="225.34"/>
    <n v="0.373"/>
    <n v="0"/>
    <d v="2023-10-31T00:00:00"/>
  </r>
  <r>
    <s v="LST0034"/>
    <x v="0"/>
    <x v="2"/>
    <x v="28"/>
    <n v="4"/>
    <n v="2"/>
    <x v="29"/>
    <n v="1986"/>
    <x v="7"/>
    <s v="Under Contract"/>
    <n v="136.4"/>
    <n v="0.26100000000000001"/>
    <n v="1"/>
    <d v="2023-07-07T00:00:00"/>
  </r>
  <r>
    <s v="LST0035"/>
    <x v="1"/>
    <x v="3"/>
    <x v="29"/>
    <n v="4"/>
    <n v="1"/>
    <x v="30"/>
    <n v="2008"/>
    <x v="32"/>
    <s v="Under Contract"/>
    <n v="202.93"/>
    <n v="0.1"/>
    <n v="2"/>
    <d v="2023-10-15T00:00:00"/>
  </r>
  <r>
    <s v="LST0036"/>
    <x v="1"/>
    <x v="1"/>
    <x v="30"/>
    <n v="2"/>
    <n v="1"/>
    <x v="31"/>
    <n v="1991"/>
    <x v="33"/>
    <s v="Active"/>
    <n v="114.03"/>
    <n v="0.1"/>
    <n v="0"/>
    <d v="2023-09-06T00:00:00"/>
  </r>
  <r>
    <s v="LST0037"/>
    <x v="0"/>
    <x v="2"/>
    <x v="31"/>
    <n v="2"/>
    <n v="3"/>
    <x v="32"/>
    <n v="1995"/>
    <x v="34"/>
    <s v="Active"/>
    <n v="152.15"/>
    <n v="0.2"/>
    <n v="2"/>
    <d v="2023-09-03T00:00:00"/>
  </r>
  <r>
    <s v="LST0038"/>
    <x v="3"/>
    <x v="4"/>
    <x v="10"/>
    <n v="4"/>
    <n v="3"/>
    <x v="28"/>
    <n v="2013"/>
    <x v="35"/>
    <s v="Sold"/>
    <n v="143.68"/>
    <n v="0.5"/>
    <n v="2"/>
    <d v="2023-08-17T00:00:00"/>
  </r>
  <r>
    <s v="LST0039"/>
    <x v="2"/>
    <x v="3"/>
    <x v="32"/>
    <n v="2"/>
    <n v="2.5"/>
    <x v="33"/>
    <n v="1994"/>
    <x v="36"/>
    <s v="Active"/>
    <n v="110.66"/>
    <n v="0.21099999999999999"/>
    <n v="2"/>
    <d v="2023-07-23T00:00:00"/>
  </r>
  <r>
    <s v="LST0040"/>
    <x v="0"/>
    <x v="4"/>
    <x v="33"/>
    <n v="2"/>
    <n v="1"/>
    <x v="34"/>
    <n v="1986"/>
    <x v="37"/>
    <s v="Sold"/>
    <n v="229.44"/>
    <n v="0.1"/>
    <n v="2"/>
    <d v="2023-10-17T00:00:00"/>
  </r>
  <r>
    <s v="LST0041"/>
    <x v="3"/>
    <x v="0"/>
    <x v="34"/>
    <n v="3"/>
    <n v="2.5"/>
    <x v="35"/>
    <n v="1982"/>
    <x v="38"/>
    <s v="Sold"/>
    <n v="174.07"/>
    <n v="0.21299999999999999"/>
    <n v="1"/>
    <d v="2023-11-27T00:00:00"/>
  </r>
  <r>
    <s v="LST0042"/>
    <x v="3"/>
    <x v="2"/>
    <x v="35"/>
    <n v="4"/>
    <n v="2.5"/>
    <x v="36"/>
    <n v="1989"/>
    <x v="39"/>
    <s v="Active"/>
    <n v="305.81"/>
    <n v="0.20899999999999999"/>
    <n v="0"/>
    <d v="2023-12-31T00:00:00"/>
  </r>
  <r>
    <s v="LST0043"/>
    <x v="1"/>
    <x v="2"/>
    <x v="36"/>
    <n v="4"/>
    <n v="2"/>
    <x v="18"/>
    <n v="1994"/>
    <x v="40"/>
    <s v="Sold"/>
    <n v="284.12"/>
    <n v="0.1"/>
    <n v="2"/>
    <d v="2023-11-22T00:00:00"/>
  </r>
  <r>
    <s v="LST0044"/>
    <x v="0"/>
    <x v="3"/>
    <x v="37"/>
    <n v="3"/>
    <n v="2.5"/>
    <x v="37"/>
    <n v="1973"/>
    <x v="41"/>
    <s v="Under Contract"/>
    <n v="247.28"/>
    <n v="0.24199999999999999"/>
    <n v="2"/>
    <d v="2023-10-29T00:00:00"/>
  </r>
  <r>
    <s v="LST0045"/>
    <x v="0"/>
    <x v="3"/>
    <x v="38"/>
    <n v="4"/>
    <n v="2"/>
    <x v="38"/>
    <n v="1979"/>
    <x v="42"/>
    <s v="Active"/>
    <n v="278"/>
    <n v="0.215"/>
    <n v="2"/>
    <d v="2023-08-04T00:00:00"/>
  </r>
  <r>
    <s v="LST0046"/>
    <x v="3"/>
    <x v="1"/>
    <x v="39"/>
    <n v="3"/>
    <n v="2.5"/>
    <x v="39"/>
    <n v="1972"/>
    <x v="43"/>
    <s v="Sold"/>
    <n v="208.51"/>
    <n v="0.35399999999999998"/>
    <n v="2"/>
    <d v="2023-11-02T00:00:00"/>
  </r>
  <r>
    <s v="LST0047"/>
    <x v="1"/>
    <x v="4"/>
    <x v="40"/>
    <n v="3"/>
    <n v="2.5"/>
    <x v="28"/>
    <n v="2010"/>
    <x v="41"/>
    <s v="Active"/>
    <n v="247.7"/>
    <n v="0.52700000000000002"/>
    <n v="1"/>
    <d v="2023-10-29T00:00:00"/>
  </r>
  <r>
    <s v="LST0048"/>
    <x v="0"/>
    <x v="3"/>
    <x v="41"/>
    <n v="4"/>
    <n v="1"/>
    <x v="40"/>
    <n v="2014"/>
    <x v="44"/>
    <s v="Under Contract"/>
    <n v="287.77"/>
    <n v="0.41899999999999998"/>
    <n v="2"/>
    <d v="2023-09-30T00:00:00"/>
  </r>
  <r>
    <s v="LST0049"/>
    <x v="1"/>
    <x v="3"/>
    <x v="42"/>
    <n v="4"/>
    <n v="2"/>
    <x v="41"/>
    <n v="1987"/>
    <x v="45"/>
    <s v="Active"/>
    <n v="229.05"/>
    <n v="0.21"/>
    <n v="2"/>
    <d v="2023-10-21T00:00:00"/>
  </r>
  <r>
    <s v="LST0050"/>
    <x v="2"/>
    <x v="4"/>
    <x v="10"/>
    <n v="4"/>
    <n v="2.5"/>
    <x v="42"/>
    <n v="2016"/>
    <x v="46"/>
    <s v="Active"/>
    <n v="75.08"/>
    <n v="0.1"/>
    <n v="2"/>
    <d v="2023-12-21T00:00:00"/>
  </r>
  <r>
    <s v="LST0051"/>
    <x v="3"/>
    <x v="1"/>
    <x v="43"/>
    <n v="4"/>
    <n v="2.5"/>
    <x v="43"/>
    <n v="2005"/>
    <x v="47"/>
    <s v="Active"/>
    <n v="198.19"/>
    <n v="0.63600000000000001"/>
    <n v="1"/>
    <d v="2023-09-18T00:00:00"/>
  </r>
  <r>
    <s v="LST0052"/>
    <x v="1"/>
    <x v="4"/>
    <x v="44"/>
    <n v="3"/>
    <n v="3"/>
    <x v="44"/>
    <n v="2016"/>
    <x v="48"/>
    <s v="Active"/>
    <n v="238.92"/>
    <n v="0.25900000000000001"/>
    <n v="2"/>
    <d v="2023-12-18T00:00:00"/>
  </r>
  <r>
    <s v="LST0053"/>
    <x v="1"/>
    <x v="2"/>
    <x v="45"/>
    <n v="2"/>
    <n v="2.5"/>
    <x v="45"/>
    <n v="1991"/>
    <x v="43"/>
    <s v="Under Contract"/>
    <n v="239.76"/>
    <n v="0.252"/>
    <n v="2"/>
    <d v="2023-11-02T00:00:00"/>
  </r>
  <r>
    <s v="LST0054"/>
    <x v="2"/>
    <x v="4"/>
    <x v="46"/>
    <n v="3"/>
    <n v="2"/>
    <x v="29"/>
    <n v="2003"/>
    <x v="49"/>
    <s v="Active"/>
    <n v="236.8"/>
    <n v="0.246"/>
    <n v="0"/>
    <d v="2023-12-02T00:00:00"/>
  </r>
  <r>
    <s v="LST0055"/>
    <x v="2"/>
    <x v="3"/>
    <x v="47"/>
    <n v="3"/>
    <n v="1"/>
    <x v="46"/>
    <n v="2016"/>
    <x v="38"/>
    <s v="Active"/>
    <n v="464.54"/>
    <n v="0.28000000000000003"/>
    <n v="3"/>
    <d v="2023-11-27T00:00:00"/>
  </r>
  <r>
    <s v="LST0056"/>
    <x v="2"/>
    <x v="3"/>
    <x v="48"/>
    <n v="3"/>
    <n v="2.5"/>
    <x v="47"/>
    <n v="1977"/>
    <x v="50"/>
    <s v="Under Contract"/>
    <n v="193.94"/>
    <n v="0.22800000000000001"/>
    <n v="1"/>
    <d v="2023-07-20T00:00:00"/>
  </r>
  <r>
    <s v="LST0057"/>
    <x v="0"/>
    <x v="2"/>
    <x v="49"/>
    <n v="5"/>
    <n v="1"/>
    <x v="48"/>
    <n v="2009"/>
    <x v="9"/>
    <s v="Active"/>
    <n v="128.52000000000001"/>
    <n v="0.16400000000000001"/>
    <n v="3"/>
    <d v="2023-12-27T00:00:00"/>
  </r>
  <r>
    <s v="LST0058"/>
    <x v="2"/>
    <x v="1"/>
    <x v="50"/>
    <n v="3"/>
    <n v="2.5"/>
    <x v="5"/>
    <n v="2018"/>
    <x v="51"/>
    <s v="Active"/>
    <n v="236.46"/>
    <n v="0.16800000000000001"/>
    <n v="2"/>
    <d v="2023-10-10T00:00:00"/>
  </r>
  <r>
    <s v="LST0059"/>
    <x v="2"/>
    <x v="3"/>
    <x v="51"/>
    <n v="4"/>
    <n v="3.5"/>
    <x v="49"/>
    <n v="2013"/>
    <x v="52"/>
    <s v="Under Contract"/>
    <n v="470.09"/>
    <n v="0.245"/>
    <n v="1"/>
    <d v="2023-08-31T00:00:00"/>
  </r>
  <r>
    <s v="LST0060"/>
    <x v="3"/>
    <x v="1"/>
    <x v="52"/>
    <n v="4"/>
    <n v="2.5"/>
    <x v="50"/>
    <n v="1988"/>
    <x v="32"/>
    <s v="Active"/>
    <n v="214.62"/>
    <n v="0.16800000000000001"/>
    <n v="2"/>
    <d v="2023-10-15T00:00:00"/>
  </r>
  <r>
    <s v="LST0061"/>
    <x v="3"/>
    <x v="0"/>
    <x v="53"/>
    <n v="4"/>
    <n v="2"/>
    <x v="21"/>
    <n v="2011"/>
    <x v="53"/>
    <s v="Active"/>
    <n v="200.94"/>
    <n v="0.14299999999999999"/>
    <n v="2"/>
    <d v="2023-07-31T00:00:00"/>
  </r>
  <r>
    <s v="LST0062"/>
    <x v="3"/>
    <x v="0"/>
    <x v="54"/>
    <n v="3"/>
    <n v="2.5"/>
    <x v="51"/>
    <n v="2010"/>
    <x v="31"/>
    <s v="Under Contract"/>
    <n v="160.54"/>
    <n v="0.26600000000000001"/>
    <n v="2"/>
    <d v="2023-10-31T00:00:00"/>
  </r>
  <r>
    <s v="LST0063"/>
    <x v="1"/>
    <x v="2"/>
    <x v="55"/>
    <n v="3"/>
    <n v="2.5"/>
    <x v="52"/>
    <n v="2006"/>
    <x v="54"/>
    <s v="Active"/>
    <n v="269.35000000000002"/>
    <n v="0.21199999999999999"/>
    <n v="2"/>
    <d v="2023-08-22T00:00:00"/>
  </r>
  <r>
    <s v="LST0064"/>
    <x v="2"/>
    <x v="4"/>
    <x v="56"/>
    <n v="3"/>
    <n v="2.5"/>
    <x v="37"/>
    <n v="1975"/>
    <x v="55"/>
    <s v="Sold"/>
    <n v="174.46"/>
    <n v="0.47599999999999998"/>
    <n v="2"/>
    <d v="2023-10-04T00:00:00"/>
  </r>
  <r>
    <s v="LST0065"/>
    <x v="3"/>
    <x v="1"/>
    <x v="57"/>
    <n v="2"/>
    <n v="3.5"/>
    <x v="53"/>
    <n v="2021"/>
    <x v="56"/>
    <s v="Active"/>
    <n v="282.73"/>
    <n v="0.1"/>
    <n v="2"/>
    <d v="2023-11-20T00:00:00"/>
  </r>
  <r>
    <s v="LST0066"/>
    <x v="1"/>
    <x v="1"/>
    <x v="58"/>
    <n v="4"/>
    <n v="2"/>
    <x v="54"/>
    <n v="1995"/>
    <x v="55"/>
    <s v="Under Contract"/>
    <n v="315.25"/>
    <n v="0.41399999999999998"/>
    <n v="2"/>
    <d v="2023-10-04T00:00:00"/>
  </r>
  <r>
    <s v="LST0067"/>
    <x v="2"/>
    <x v="4"/>
    <x v="59"/>
    <n v="3"/>
    <n v="3.5"/>
    <x v="55"/>
    <n v="2003"/>
    <x v="57"/>
    <s v="Active"/>
    <n v="253.37"/>
    <n v="0.437"/>
    <n v="1"/>
    <d v="2023-08-08T00:00:00"/>
  </r>
  <r>
    <s v="LST0068"/>
    <x v="0"/>
    <x v="2"/>
    <x v="60"/>
    <n v="2"/>
    <n v="3.5"/>
    <x v="56"/>
    <n v="2014"/>
    <x v="40"/>
    <s v="Sold"/>
    <n v="253.31"/>
    <n v="0.1"/>
    <n v="2"/>
    <d v="2023-11-22T00:00:00"/>
  </r>
  <r>
    <s v="LST0069"/>
    <x v="0"/>
    <x v="4"/>
    <x v="61"/>
    <n v="4"/>
    <n v="2"/>
    <x v="57"/>
    <n v="1975"/>
    <x v="45"/>
    <s v="Under Contract"/>
    <n v="355.13"/>
    <n v="0.19900000000000001"/>
    <n v="1"/>
    <d v="2023-10-21T00:00:00"/>
  </r>
  <r>
    <s v="LST0070"/>
    <x v="1"/>
    <x v="1"/>
    <x v="62"/>
    <n v="2"/>
    <n v="1"/>
    <x v="58"/>
    <n v="2006"/>
    <x v="58"/>
    <s v="Under Contract"/>
    <n v="191"/>
    <n v="0.19400000000000001"/>
    <n v="3"/>
    <d v="2023-11-23T00:00:00"/>
  </r>
  <r>
    <s v="LST0071"/>
    <x v="2"/>
    <x v="3"/>
    <x v="61"/>
    <n v="5"/>
    <n v="2"/>
    <x v="59"/>
    <n v="2002"/>
    <x v="59"/>
    <s v="Active"/>
    <n v="244.05"/>
    <n v="0.1"/>
    <n v="3"/>
    <d v="2023-09-19T00:00:00"/>
  </r>
  <r>
    <s v="LST0072"/>
    <x v="2"/>
    <x v="4"/>
    <x v="63"/>
    <n v="5"/>
    <n v="1"/>
    <x v="19"/>
    <n v="2022"/>
    <x v="48"/>
    <s v="Active"/>
    <n v="291.24"/>
    <n v="0.13300000000000001"/>
    <n v="0"/>
    <d v="2023-12-18T00:00:00"/>
  </r>
  <r>
    <s v="LST0073"/>
    <x v="2"/>
    <x v="1"/>
    <x v="64"/>
    <n v="5"/>
    <n v="1"/>
    <x v="60"/>
    <n v="1991"/>
    <x v="60"/>
    <s v="Under Contract"/>
    <n v="188.21"/>
    <n v="0.1"/>
    <n v="2"/>
    <d v="2023-11-30T00:00:00"/>
  </r>
  <r>
    <s v="LST0074"/>
    <x v="0"/>
    <x v="0"/>
    <x v="65"/>
    <n v="3"/>
    <n v="2.5"/>
    <x v="61"/>
    <n v="1990"/>
    <x v="61"/>
    <s v="Sold"/>
    <n v="480.39"/>
    <n v="0.51300000000000001"/>
    <n v="3"/>
    <d v="2023-07-06T00:00:00"/>
  </r>
  <r>
    <s v="LST0075"/>
    <x v="0"/>
    <x v="2"/>
    <x v="10"/>
    <n v="2"/>
    <n v="1"/>
    <x v="62"/>
    <n v="1975"/>
    <x v="62"/>
    <s v="Under Contract"/>
    <n v="195.31"/>
    <n v="0.39"/>
    <n v="1"/>
    <d v="2023-08-29T00:00:00"/>
  </r>
  <r>
    <s v="LST0076"/>
    <x v="1"/>
    <x v="1"/>
    <x v="29"/>
    <n v="5"/>
    <n v="2"/>
    <x v="63"/>
    <n v="1975"/>
    <x v="63"/>
    <s v="Under Contract"/>
    <n v="209.76"/>
    <n v="0.441"/>
    <n v="2"/>
    <d v="2023-07-19T00:00:00"/>
  </r>
  <r>
    <s v="LST0077"/>
    <x v="1"/>
    <x v="1"/>
    <x v="66"/>
    <n v="3"/>
    <n v="3"/>
    <x v="64"/>
    <n v="2017"/>
    <x v="64"/>
    <s v="Active"/>
    <n v="213.75"/>
    <n v="0.35799999999999998"/>
    <n v="3"/>
    <d v="2023-09-26T00:00:00"/>
  </r>
  <r>
    <s v="LST0078"/>
    <x v="3"/>
    <x v="0"/>
    <x v="37"/>
    <n v="5"/>
    <n v="1"/>
    <x v="65"/>
    <n v="1973"/>
    <x v="65"/>
    <s v="Active"/>
    <n v="260"/>
    <n v="0.1"/>
    <n v="0"/>
    <d v="2023-12-09T00:00:00"/>
  </r>
  <r>
    <s v="LST0079"/>
    <x v="2"/>
    <x v="0"/>
    <x v="67"/>
    <n v="5"/>
    <n v="3"/>
    <x v="66"/>
    <n v="1999"/>
    <x v="18"/>
    <s v="Sold"/>
    <n v="164.22"/>
    <n v="0.17100000000000001"/>
    <n v="2"/>
    <d v="2023-10-30T00:00:00"/>
  </r>
  <r>
    <s v="LST0080"/>
    <x v="3"/>
    <x v="3"/>
    <x v="10"/>
    <n v="4"/>
    <n v="2"/>
    <x v="59"/>
    <n v="1980"/>
    <x v="23"/>
    <s v="Under Contract"/>
    <n v="110.13"/>
    <n v="0.32300000000000001"/>
    <n v="1"/>
    <d v="2023-08-11T00:00:00"/>
  </r>
  <r>
    <s v="LST0081"/>
    <x v="1"/>
    <x v="0"/>
    <x v="68"/>
    <n v="3"/>
    <n v="2"/>
    <x v="48"/>
    <n v="1999"/>
    <x v="66"/>
    <s v="Sold"/>
    <n v="160.47999999999999"/>
    <n v="0.1"/>
    <n v="3"/>
    <d v="2023-08-01T00:00:00"/>
  </r>
  <r>
    <s v="LST0082"/>
    <x v="0"/>
    <x v="2"/>
    <x v="61"/>
    <n v="3"/>
    <n v="2.5"/>
    <x v="67"/>
    <n v="2000"/>
    <x v="67"/>
    <s v="Active"/>
    <n v="247.32"/>
    <n v="0.35699999999999998"/>
    <n v="3"/>
    <d v="2023-08-09T00:00:00"/>
  </r>
  <r>
    <s v="LST0083"/>
    <x v="3"/>
    <x v="3"/>
    <x v="69"/>
    <n v="4"/>
    <n v="2.5"/>
    <x v="68"/>
    <n v="1993"/>
    <x v="68"/>
    <s v="Sold"/>
    <n v="209.88"/>
    <n v="0.214"/>
    <n v="3"/>
    <d v="2023-11-09T00:00:00"/>
  </r>
  <r>
    <s v="LST0084"/>
    <x v="0"/>
    <x v="4"/>
    <x v="70"/>
    <n v="3"/>
    <n v="3"/>
    <x v="69"/>
    <n v="1978"/>
    <x v="59"/>
    <s v="Active"/>
    <n v="129.85"/>
    <n v="0.19400000000000001"/>
    <n v="2"/>
    <d v="2023-09-19T00:00:00"/>
  </r>
  <r>
    <s v="LST0085"/>
    <x v="1"/>
    <x v="1"/>
    <x v="71"/>
    <n v="2"/>
    <n v="3"/>
    <x v="70"/>
    <n v="1972"/>
    <x v="59"/>
    <s v="Under Contract"/>
    <n v="184.88"/>
    <n v="0.35699999999999998"/>
    <n v="2"/>
    <d v="2023-09-19T00:00:00"/>
  </r>
  <r>
    <s v="LST0086"/>
    <x v="3"/>
    <x v="4"/>
    <x v="72"/>
    <n v="3"/>
    <n v="3"/>
    <x v="31"/>
    <n v="2020"/>
    <x v="61"/>
    <s v="Under Contract"/>
    <n v="152.88"/>
    <n v="0.317"/>
    <n v="2"/>
    <d v="2023-07-06T00:00:00"/>
  </r>
  <r>
    <s v="LST0087"/>
    <x v="2"/>
    <x v="1"/>
    <x v="73"/>
    <n v="5"/>
    <n v="2"/>
    <x v="71"/>
    <n v="2000"/>
    <x v="58"/>
    <s v="Sold"/>
    <n v="245.95"/>
    <n v="0.19600000000000001"/>
    <n v="2"/>
    <d v="2023-11-23T00:00:00"/>
  </r>
  <r>
    <s v="LST0088"/>
    <x v="1"/>
    <x v="2"/>
    <x v="43"/>
    <n v="4"/>
    <n v="2"/>
    <x v="72"/>
    <n v="2009"/>
    <x v="61"/>
    <s v="Sold"/>
    <n v="181.79"/>
    <n v="0.42399999999999999"/>
    <n v="2"/>
    <d v="2023-07-06T00:00:00"/>
  </r>
  <r>
    <s v="LST0089"/>
    <x v="1"/>
    <x v="1"/>
    <x v="74"/>
    <n v="3"/>
    <n v="3"/>
    <x v="73"/>
    <n v="2006"/>
    <x v="6"/>
    <s v="Under Contract"/>
    <n v="259.88"/>
    <n v="0.1"/>
    <n v="0"/>
    <d v="2023-08-20T00:00:00"/>
  </r>
  <r>
    <s v="LST0090"/>
    <x v="1"/>
    <x v="0"/>
    <x v="75"/>
    <n v="2"/>
    <n v="3"/>
    <x v="23"/>
    <n v="2005"/>
    <x v="69"/>
    <s v="Under Contract"/>
    <n v="221.07"/>
    <n v="0.34200000000000003"/>
    <n v="2"/>
    <d v="2023-10-26T00:00:00"/>
  </r>
  <r>
    <s v="LST0091"/>
    <x v="0"/>
    <x v="3"/>
    <x v="76"/>
    <n v="4"/>
    <n v="3.5"/>
    <x v="74"/>
    <n v="1993"/>
    <x v="70"/>
    <s v="Active"/>
    <n v="181.34"/>
    <n v="0.33900000000000002"/>
    <n v="1"/>
    <d v="2023-08-19T00:00:00"/>
  </r>
  <r>
    <s v="LST0092"/>
    <x v="2"/>
    <x v="4"/>
    <x v="77"/>
    <n v="5"/>
    <n v="2.5"/>
    <x v="75"/>
    <n v="2000"/>
    <x v="61"/>
    <s v="Active"/>
    <n v="565.79"/>
    <n v="0.20399999999999999"/>
    <n v="1"/>
    <d v="2023-07-06T00:00:00"/>
  </r>
  <r>
    <s v="LST0093"/>
    <x v="0"/>
    <x v="0"/>
    <x v="78"/>
    <n v="2"/>
    <n v="2"/>
    <x v="76"/>
    <n v="1975"/>
    <x v="56"/>
    <s v="Sold"/>
    <n v="265.10000000000002"/>
    <n v="0.29899999999999999"/>
    <n v="0"/>
    <d v="2023-11-20T00:00:00"/>
  </r>
  <r>
    <s v="LST0094"/>
    <x v="1"/>
    <x v="3"/>
    <x v="79"/>
    <n v="3"/>
    <n v="3"/>
    <x v="38"/>
    <n v="1971"/>
    <x v="71"/>
    <s v="Active"/>
    <n v="451"/>
    <n v="0.1"/>
    <n v="2"/>
    <d v="2023-12-17T00:00:00"/>
  </r>
  <r>
    <s v="LST0095"/>
    <x v="2"/>
    <x v="4"/>
    <x v="80"/>
    <n v="4"/>
    <n v="2"/>
    <x v="77"/>
    <n v="1989"/>
    <x v="72"/>
    <s v="Active"/>
    <n v="216.18"/>
    <n v="0.38900000000000001"/>
    <n v="2"/>
    <d v="2023-09-12T00:00:00"/>
  </r>
  <r>
    <s v="LST0096"/>
    <x v="3"/>
    <x v="2"/>
    <x v="81"/>
    <n v="4"/>
    <n v="3.5"/>
    <x v="60"/>
    <n v="1997"/>
    <x v="73"/>
    <s v="Sold"/>
    <n v="106.46"/>
    <n v="0.222"/>
    <n v="2"/>
    <d v="2023-07-28T00:00:00"/>
  </r>
  <r>
    <s v="LST0097"/>
    <x v="0"/>
    <x v="2"/>
    <x v="82"/>
    <n v="4"/>
    <n v="3"/>
    <x v="78"/>
    <n v="1980"/>
    <x v="74"/>
    <s v="Sold"/>
    <n v="175.48"/>
    <n v="0.17199999999999999"/>
    <n v="0"/>
    <d v="2023-11-29T00:00:00"/>
  </r>
  <r>
    <s v="LST0098"/>
    <x v="3"/>
    <x v="2"/>
    <x v="83"/>
    <n v="4"/>
    <n v="2.5"/>
    <x v="67"/>
    <n v="1973"/>
    <x v="75"/>
    <s v="Under Contract"/>
    <n v="240.62"/>
    <n v="0.40699999999999997"/>
    <n v="2"/>
    <d v="2023-07-30T00:00:00"/>
  </r>
  <r>
    <s v="LST0099"/>
    <x v="0"/>
    <x v="1"/>
    <x v="84"/>
    <n v="3"/>
    <n v="3"/>
    <x v="79"/>
    <n v="1984"/>
    <x v="76"/>
    <s v="Active"/>
    <n v="157.55000000000001"/>
    <n v="0.14399999999999999"/>
    <n v="2"/>
    <d v="2023-07-21T00:00:00"/>
  </r>
  <r>
    <s v="LST0100"/>
    <x v="2"/>
    <x v="0"/>
    <x v="4"/>
    <n v="3"/>
    <n v="3"/>
    <x v="80"/>
    <n v="1975"/>
    <x v="73"/>
    <s v="Sold"/>
    <n v="339.42"/>
    <n v="0.1"/>
    <n v="2"/>
    <d v="2023-07-28T00:00:00"/>
  </r>
  <r>
    <s v="LST0101"/>
    <x v="3"/>
    <x v="3"/>
    <x v="15"/>
    <n v="4"/>
    <n v="2"/>
    <x v="81"/>
    <n v="2023"/>
    <x v="25"/>
    <s v="Sold"/>
    <n v="244.07"/>
    <n v="0.1"/>
    <n v="2"/>
    <d v="2023-11-24T00:00:00"/>
  </r>
  <r>
    <s v="LST0102"/>
    <x v="2"/>
    <x v="4"/>
    <x v="85"/>
    <n v="4"/>
    <n v="3.5"/>
    <x v="82"/>
    <n v="2018"/>
    <x v="64"/>
    <s v="Under Contract"/>
    <n v="201.38"/>
    <n v="0.34100000000000003"/>
    <n v="2"/>
    <d v="2023-09-26T00:00:00"/>
  </r>
  <r>
    <s v="LST0103"/>
    <x v="2"/>
    <x v="4"/>
    <x v="86"/>
    <n v="4"/>
    <n v="2.5"/>
    <x v="83"/>
    <n v="1999"/>
    <x v="75"/>
    <s v="Sold"/>
    <n v="184.77"/>
    <n v="0.1"/>
    <n v="2"/>
    <d v="2023-07-30T00:00:00"/>
  </r>
  <r>
    <s v="LST0104"/>
    <x v="2"/>
    <x v="0"/>
    <x v="87"/>
    <n v="5"/>
    <n v="3"/>
    <x v="84"/>
    <n v="2007"/>
    <x v="74"/>
    <s v="Active"/>
    <n v="174.31"/>
    <n v="0.51300000000000001"/>
    <n v="2"/>
    <d v="2023-11-29T00:00:00"/>
  </r>
  <r>
    <s v="LST0105"/>
    <x v="0"/>
    <x v="1"/>
    <x v="88"/>
    <n v="3"/>
    <n v="2"/>
    <x v="38"/>
    <n v="2020"/>
    <x v="77"/>
    <s v="Active"/>
    <n v="476"/>
    <n v="0.1"/>
    <n v="1"/>
    <d v="2023-10-07T00:00:00"/>
  </r>
  <r>
    <s v="LST0106"/>
    <x v="3"/>
    <x v="4"/>
    <x v="89"/>
    <n v="3"/>
    <n v="3"/>
    <x v="85"/>
    <n v="1971"/>
    <x v="78"/>
    <s v="Sold"/>
    <n v="260.93"/>
    <n v="0.504"/>
    <n v="0"/>
    <d v="2023-10-27T00:00:00"/>
  </r>
  <r>
    <s v="LST0107"/>
    <x v="2"/>
    <x v="3"/>
    <x v="90"/>
    <n v="4"/>
    <n v="2"/>
    <x v="86"/>
    <n v="1984"/>
    <x v="8"/>
    <s v="Under Contract"/>
    <n v="551.41"/>
    <n v="0.28199999999999997"/>
    <n v="2"/>
    <d v="2023-12-22T00:00:00"/>
  </r>
  <r>
    <s v="LST0108"/>
    <x v="1"/>
    <x v="3"/>
    <x v="35"/>
    <n v="4"/>
    <n v="1"/>
    <x v="87"/>
    <n v="1980"/>
    <x v="9"/>
    <s v="Sold"/>
    <n v="202.31"/>
    <n v="0.23499999999999999"/>
    <n v="0"/>
    <d v="2023-12-27T00:00:00"/>
  </r>
  <r>
    <s v="LST0109"/>
    <x v="3"/>
    <x v="3"/>
    <x v="83"/>
    <n v="4"/>
    <n v="3.5"/>
    <x v="88"/>
    <n v="1977"/>
    <x v="52"/>
    <s v="Sold"/>
    <n v="222.73"/>
    <n v="0.16800000000000001"/>
    <n v="2"/>
    <d v="2023-08-31T00:00:00"/>
  </r>
  <r>
    <s v="LST0110"/>
    <x v="3"/>
    <x v="3"/>
    <x v="59"/>
    <n v="4"/>
    <n v="1"/>
    <x v="89"/>
    <n v="1995"/>
    <x v="79"/>
    <s v="Sold"/>
    <n v="298.17"/>
    <n v="0.31"/>
    <n v="2"/>
    <d v="2023-10-19T00:00:00"/>
  </r>
  <r>
    <s v="LST0111"/>
    <x v="1"/>
    <x v="2"/>
    <x v="10"/>
    <n v="4"/>
    <n v="2"/>
    <x v="90"/>
    <n v="2020"/>
    <x v="64"/>
    <s v="Under Contract"/>
    <n v="132.28"/>
    <n v="0.24399999999999999"/>
    <n v="3"/>
    <d v="2023-09-26T00:00:00"/>
  </r>
  <r>
    <s v="LST0112"/>
    <x v="1"/>
    <x v="1"/>
    <x v="91"/>
    <n v="3"/>
    <n v="3.5"/>
    <x v="57"/>
    <n v="2014"/>
    <x v="80"/>
    <s v="Sold"/>
    <n v="317.95"/>
    <n v="0.41499999999999998"/>
    <n v="2"/>
    <d v="2023-09-05T00:00:00"/>
  </r>
  <r>
    <s v="LST0113"/>
    <x v="3"/>
    <x v="1"/>
    <x v="92"/>
    <n v="3"/>
    <n v="3.5"/>
    <x v="91"/>
    <n v="2013"/>
    <x v="25"/>
    <s v="Sold"/>
    <n v="235.65"/>
    <n v="0.26700000000000002"/>
    <n v="3"/>
    <d v="2023-11-24T00:00:00"/>
  </r>
  <r>
    <s v="LST0114"/>
    <x v="2"/>
    <x v="1"/>
    <x v="93"/>
    <n v="2"/>
    <n v="2.5"/>
    <x v="43"/>
    <n v="1974"/>
    <x v="81"/>
    <s v="Sold"/>
    <n v="313.72000000000003"/>
    <n v="0.27300000000000002"/>
    <n v="2"/>
    <d v="2023-08-13T00:00:00"/>
  </r>
  <r>
    <s v="LST0115"/>
    <x v="0"/>
    <x v="2"/>
    <x v="94"/>
    <n v="3"/>
    <n v="2.5"/>
    <x v="92"/>
    <n v="1975"/>
    <x v="82"/>
    <s v="Active"/>
    <n v="292.55"/>
    <n v="0.19500000000000001"/>
    <n v="2"/>
    <d v="2023-07-26T00:00:00"/>
  </r>
  <r>
    <s v="LST0116"/>
    <x v="0"/>
    <x v="2"/>
    <x v="95"/>
    <n v="2"/>
    <n v="2.5"/>
    <x v="29"/>
    <n v="1995"/>
    <x v="83"/>
    <s v="Active"/>
    <n v="218"/>
    <n v="0.24099999999999999"/>
    <n v="2"/>
    <d v="2023-11-15T00:00:00"/>
  </r>
  <r>
    <s v="LST0117"/>
    <x v="1"/>
    <x v="1"/>
    <x v="64"/>
    <n v="3"/>
    <n v="2"/>
    <x v="39"/>
    <n v="2023"/>
    <x v="84"/>
    <s v="Under Contract"/>
    <n v="263.3"/>
    <n v="0.29599999999999999"/>
    <n v="2"/>
    <d v="2023-09-14T00:00:00"/>
  </r>
  <r>
    <s v="LST0118"/>
    <x v="1"/>
    <x v="2"/>
    <x v="96"/>
    <n v="3"/>
    <n v="2"/>
    <x v="36"/>
    <n v="1973"/>
    <x v="71"/>
    <s v="Sold"/>
    <n v="188.95"/>
    <n v="0.1"/>
    <n v="2"/>
    <d v="2023-12-17T00:00:00"/>
  </r>
  <r>
    <s v="LST0119"/>
    <x v="1"/>
    <x v="2"/>
    <x v="97"/>
    <n v="3"/>
    <n v="2.5"/>
    <x v="93"/>
    <n v="1988"/>
    <x v="73"/>
    <s v="Under Contract"/>
    <n v="313.55"/>
    <n v="0.1"/>
    <n v="2"/>
    <d v="2023-07-28T00:00:00"/>
  </r>
  <r>
    <s v="LST0120"/>
    <x v="3"/>
    <x v="4"/>
    <x v="98"/>
    <n v="3"/>
    <n v="3"/>
    <x v="94"/>
    <n v="1989"/>
    <x v="85"/>
    <s v="Active"/>
    <n v="387.97"/>
    <n v="0.36099999999999999"/>
    <n v="3"/>
    <d v="2023-08-18T00:00:00"/>
  </r>
  <r>
    <s v="LST0121"/>
    <x v="0"/>
    <x v="0"/>
    <x v="99"/>
    <n v="2"/>
    <n v="3"/>
    <x v="95"/>
    <n v="2002"/>
    <x v="9"/>
    <s v="Active"/>
    <n v="331.02"/>
    <n v="0.27600000000000002"/>
    <n v="2"/>
    <d v="2023-12-27T00:00:00"/>
  </r>
  <r>
    <s v="LST0122"/>
    <x v="1"/>
    <x v="0"/>
    <x v="14"/>
    <n v="2"/>
    <n v="3"/>
    <x v="96"/>
    <n v="1989"/>
    <x v="73"/>
    <s v="Under Contract"/>
    <n v="245.95"/>
    <n v="0.222"/>
    <n v="2"/>
    <d v="2023-07-28T00:00:00"/>
  </r>
  <r>
    <s v="LST0123"/>
    <x v="2"/>
    <x v="4"/>
    <x v="100"/>
    <n v="4"/>
    <n v="1"/>
    <x v="97"/>
    <n v="2018"/>
    <x v="83"/>
    <s v="Sold"/>
    <n v="210.06"/>
    <n v="0.253"/>
    <n v="2"/>
    <d v="2023-11-15T00:00:00"/>
  </r>
  <r>
    <s v="LST0124"/>
    <x v="1"/>
    <x v="3"/>
    <x v="101"/>
    <n v="3"/>
    <n v="2.5"/>
    <x v="98"/>
    <n v="1981"/>
    <x v="86"/>
    <s v="Sold"/>
    <n v="130.63"/>
    <n v="0.30199999999999999"/>
    <n v="2"/>
    <d v="2023-10-25T00:00:00"/>
  </r>
  <r>
    <s v="LST0125"/>
    <x v="0"/>
    <x v="1"/>
    <x v="102"/>
    <n v="2"/>
    <n v="1"/>
    <x v="99"/>
    <n v="2016"/>
    <x v="37"/>
    <s v="Active"/>
    <n v="330.34"/>
    <n v="0.16900000000000001"/>
    <n v="1"/>
    <d v="2023-10-17T00:00:00"/>
  </r>
  <r>
    <s v="LST0126"/>
    <x v="1"/>
    <x v="4"/>
    <x v="103"/>
    <n v="3"/>
    <n v="2.5"/>
    <x v="25"/>
    <n v="1970"/>
    <x v="87"/>
    <s v="Sold"/>
    <n v="355.79"/>
    <n v="0.13300000000000001"/>
    <n v="1"/>
    <d v="2023-07-12T00:00:00"/>
  </r>
  <r>
    <s v="LST0127"/>
    <x v="0"/>
    <x v="4"/>
    <x v="104"/>
    <n v="4"/>
    <n v="2.5"/>
    <x v="21"/>
    <n v="1995"/>
    <x v="13"/>
    <s v="Sold"/>
    <n v="164.79"/>
    <n v="0.27900000000000003"/>
    <n v="2"/>
    <d v="2023-08-24T00:00:00"/>
  </r>
  <r>
    <s v="LST0128"/>
    <x v="2"/>
    <x v="1"/>
    <x v="105"/>
    <n v="3"/>
    <n v="3"/>
    <x v="10"/>
    <n v="1983"/>
    <x v="75"/>
    <s v="Under Contract"/>
    <n v="200.48"/>
    <n v="0.10299999999999999"/>
    <n v="1"/>
    <d v="2023-07-30T00:00:00"/>
  </r>
  <r>
    <s v="LST0129"/>
    <x v="0"/>
    <x v="0"/>
    <x v="76"/>
    <n v="4"/>
    <n v="2"/>
    <x v="56"/>
    <n v="2007"/>
    <x v="28"/>
    <s v="Active"/>
    <n v="200.39"/>
    <n v="0.311"/>
    <n v="1"/>
    <d v="2023-09-28T00:00:00"/>
  </r>
  <r>
    <s v="LST0130"/>
    <x v="3"/>
    <x v="1"/>
    <x v="106"/>
    <n v="2"/>
    <n v="2"/>
    <x v="100"/>
    <n v="2006"/>
    <x v="88"/>
    <s v="Active"/>
    <n v="160"/>
    <n v="0.1"/>
    <n v="1"/>
    <d v="2023-09-08T00:00:00"/>
  </r>
  <r>
    <m/>
    <x v="4"/>
    <x v="5"/>
    <x v="107"/>
    <m/>
    <m/>
    <x v="101"/>
    <m/>
    <x v="8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11225A-1FAC-4065-AB2B-BC424D7E170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T21" firstHeaderRow="1" firstDataRow="1" firstDataCol="0"/>
  <pivotFields count="6">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4">
        <item x="2"/>
        <item x="0"/>
        <item x="1"/>
        <item t="default"/>
      </items>
    </pivotField>
    <pivotField showAll="0">
      <items count="4">
        <item x="0"/>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54C41-E224-4350-91D4-B9A9076CFC04}"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4" firstHeaderRow="0" firstDataRow="1" firstDataCol="1"/>
  <pivotFields count="6">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4">
        <item x="2"/>
        <item x="0"/>
        <item x="1"/>
        <item t="default"/>
      </items>
    </pivotField>
    <pivotField showAll="0">
      <items count="4">
        <item x="0"/>
        <item x="2"/>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Fields count="1">
    <field x="-2"/>
  </colFields>
  <colItems count="2">
    <i>
      <x/>
    </i>
    <i i="1">
      <x v="1"/>
    </i>
  </colItems>
  <dataFields count="2">
    <dataField name="Sum of Quantity" fld="4" baseField="0" baseItem="0"/>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DAB7BA-6A98-462E-92BB-7228AF52771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34" firstHeaderRow="1" firstDataRow="1" firstDataCol="1"/>
  <pivotFields count="6">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4">
        <item x="2"/>
        <item x="0"/>
        <item x="1"/>
        <item t="default"/>
      </items>
    </pivotField>
    <pivotField showAll="0">
      <items count="4">
        <item x="0"/>
        <item x="2"/>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45119-1789-4206-8D73-62AB4B74167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7" firstHeaderRow="1" firstDataRow="1" firstDataCol="1"/>
  <pivotFields count="6">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4">
        <item x="2"/>
        <item x="0"/>
        <item x="1"/>
        <item t="default"/>
      </items>
    </pivotField>
    <pivotField axis="axisRow"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4">
    <i>
      <x/>
    </i>
    <i>
      <x v="1"/>
    </i>
    <i>
      <x v="2"/>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E6900-3460-42A4-9F5D-C99A270C1D7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6">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4">
        <item x="2"/>
        <item x="0"/>
        <item x="1"/>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0DEEDB-9A16-4EC4-B003-55FBD22547D0}"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9">
    <pivotField showAll="0"/>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
  </rowFields>
  <rowItems count="7">
    <i>
      <x/>
    </i>
    <i>
      <x v="4"/>
    </i>
    <i>
      <x v="1"/>
    </i>
    <i>
      <x v="3"/>
    </i>
    <i>
      <x v="2"/>
    </i>
    <i>
      <x v="5"/>
    </i>
    <i t="grand">
      <x/>
    </i>
  </rowItems>
  <colItems count="1">
    <i/>
  </colItems>
  <dataFields count="1">
    <dataField name="Sum of Performance_Score"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FBBB6C-2B90-4E45-BB8D-B87417425546}"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qft">
  <location ref="G3:L31" firstHeaderRow="1" firstDataRow="2" firstDataCol="1"/>
  <pivotFields count="14">
    <pivotField showAll="0"/>
    <pivotField axis="axisCol" showAll="0">
      <items count="6">
        <item x="1"/>
        <item x="0"/>
        <item x="3"/>
        <item x="2"/>
        <item x="4"/>
        <item t="default"/>
      </items>
    </pivotField>
    <pivotField showAll="0">
      <items count="7">
        <item x="2"/>
        <item x="3"/>
        <item x="0"/>
        <item x="4"/>
        <item x="1"/>
        <item x="5"/>
        <item t="default"/>
      </items>
    </pivotField>
    <pivotField dataField="1" showAll="0">
      <items count="10">
        <item x="0"/>
        <item x="1"/>
        <item x="2"/>
        <item x="3"/>
        <item x="4"/>
        <item x="5"/>
        <item x="6"/>
        <item x="7"/>
        <item x="8"/>
        <item t="default"/>
      </items>
    </pivotField>
    <pivotField showAll="0"/>
    <pivotField showAll="0"/>
    <pivotField axis="axisRow" showAll="0">
      <items count="29">
        <item h="1"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91">
        <item x="39"/>
        <item x="4"/>
        <item x="9"/>
        <item x="22"/>
        <item x="8"/>
        <item x="46"/>
        <item x="14"/>
        <item x="48"/>
        <item x="71"/>
        <item x="21"/>
        <item x="65"/>
        <item x="49"/>
        <item x="60"/>
        <item x="74"/>
        <item x="38"/>
        <item x="25"/>
        <item x="58"/>
        <item x="40"/>
        <item x="56"/>
        <item x="83"/>
        <item x="29"/>
        <item x="68"/>
        <item x="43"/>
        <item x="31"/>
        <item x="18"/>
        <item x="41"/>
        <item x="17"/>
        <item x="78"/>
        <item x="69"/>
        <item x="86"/>
        <item x="30"/>
        <item x="45"/>
        <item x="20"/>
        <item x="79"/>
        <item x="37"/>
        <item x="3"/>
        <item x="32"/>
        <item x="51"/>
        <item x="16"/>
        <item x="77"/>
        <item x="55"/>
        <item x="44"/>
        <item x="27"/>
        <item x="28"/>
        <item x="64"/>
        <item x="2"/>
        <item x="19"/>
        <item x="59"/>
        <item x="47"/>
        <item x="84"/>
        <item x="72"/>
        <item x="88"/>
        <item x="33"/>
        <item x="80"/>
        <item x="34"/>
        <item x="52"/>
        <item x="62"/>
        <item x="0"/>
        <item x="13"/>
        <item x="54"/>
        <item x="6"/>
        <item x="70"/>
        <item x="85"/>
        <item x="35"/>
        <item x="11"/>
        <item x="1"/>
        <item x="81"/>
        <item x="23"/>
        <item x="67"/>
        <item x="57"/>
        <item x="42"/>
        <item x="10"/>
        <item x="24"/>
        <item x="66"/>
        <item x="53"/>
        <item x="75"/>
        <item x="73"/>
        <item x="82"/>
        <item x="5"/>
        <item x="36"/>
        <item x="26"/>
        <item x="76"/>
        <item x="50"/>
        <item x="63"/>
        <item x="15"/>
        <item x="12"/>
        <item x="87"/>
        <item x="7"/>
        <item x="61"/>
        <item x="89"/>
        <item t="default"/>
      </items>
    </pivotField>
    <pivotField showAll="0"/>
    <pivotField showAll="0"/>
    <pivotField showAll="0"/>
    <pivotField showAll="0"/>
    <pivotField showAll="0"/>
  </pivotFields>
  <rowFields count="1">
    <field x="6"/>
  </rowFields>
  <rowItems count="27">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1"/>
  </colFields>
  <colItems count="5">
    <i>
      <x/>
    </i>
    <i>
      <x v="1"/>
    </i>
    <i>
      <x v="2"/>
    </i>
    <i>
      <x v="3"/>
    </i>
    <i t="grand">
      <x/>
    </i>
  </colItems>
  <dataFields count="1">
    <dataField name="Average of Pric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A034AA-E609-444A-B21A-FED42F10DD4A}"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ice">
  <location ref="D3:E11" firstHeaderRow="1" firstDataRow="1" firstDataCol="1"/>
  <pivotFields count="14">
    <pivotField showAll="0"/>
    <pivotField showAll="0"/>
    <pivotField showAll="0">
      <items count="7">
        <item x="2"/>
        <item x="3"/>
        <item x="0"/>
        <item x="4"/>
        <item x="1"/>
        <item x="5"/>
        <item t="default"/>
      </items>
    </pivotField>
    <pivotField axis="axisRow" showAll="0">
      <items count="10">
        <item h="1" x="0"/>
        <item x="1"/>
        <item x="2"/>
        <item x="3"/>
        <item x="4"/>
        <item x="5"/>
        <item x="6"/>
        <item x="7"/>
        <item x="8"/>
        <item t="default"/>
      </items>
    </pivotField>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dataField="1" showAll="0">
      <items count="91">
        <item x="39"/>
        <item x="4"/>
        <item x="9"/>
        <item x="22"/>
        <item x="8"/>
        <item x="46"/>
        <item x="14"/>
        <item x="48"/>
        <item x="71"/>
        <item x="21"/>
        <item x="65"/>
        <item x="49"/>
        <item x="60"/>
        <item x="74"/>
        <item x="38"/>
        <item x="25"/>
        <item x="58"/>
        <item x="40"/>
        <item x="56"/>
        <item x="83"/>
        <item x="29"/>
        <item x="68"/>
        <item x="43"/>
        <item x="31"/>
        <item x="18"/>
        <item x="41"/>
        <item x="17"/>
        <item x="78"/>
        <item x="69"/>
        <item x="86"/>
        <item x="30"/>
        <item x="45"/>
        <item x="20"/>
        <item x="79"/>
        <item x="37"/>
        <item x="3"/>
        <item x="32"/>
        <item x="51"/>
        <item x="16"/>
        <item x="77"/>
        <item x="55"/>
        <item x="44"/>
        <item x="27"/>
        <item x="28"/>
        <item x="64"/>
        <item x="2"/>
        <item x="19"/>
        <item x="59"/>
        <item x="47"/>
        <item x="84"/>
        <item x="72"/>
        <item x="88"/>
        <item x="33"/>
        <item x="80"/>
        <item x="34"/>
        <item x="52"/>
        <item x="62"/>
        <item x="0"/>
        <item x="13"/>
        <item x="54"/>
        <item x="6"/>
        <item x="70"/>
        <item x="85"/>
        <item x="35"/>
        <item x="11"/>
        <item x="1"/>
        <item x="81"/>
        <item x="23"/>
        <item x="67"/>
        <item x="57"/>
        <item x="42"/>
        <item x="10"/>
        <item x="24"/>
        <item x="66"/>
        <item x="53"/>
        <item x="75"/>
        <item x="73"/>
        <item x="82"/>
        <item x="5"/>
        <item x="36"/>
        <item x="26"/>
        <item x="76"/>
        <item x="50"/>
        <item x="63"/>
        <item x="15"/>
        <item x="12"/>
        <item x="87"/>
        <item x="7"/>
        <item x="61"/>
        <item x="89"/>
        <item t="default"/>
      </items>
    </pivotField>
    <pivotField showAll="0"/>
    <pivotField showAll="0"/>
    <pivotField showAll="0"/>
    <pivotField showAll="0"/>
    <pivotField showAll="0"/>
  </pivotFields>
  <rowFields count="1">
    <field x="3"/>
  </rowFields>
  <rowItems count="8">
    <i>
      <x v="1"/>
    </i>
    <i>
      <x v="2"/>
    </i>
    <i>
      <x v="3"/>
    </i>
    <i>
      <x v="4"/>
    </i>
    <i>
      <x v="5"/>
    </i>
    <i>
      <x v="6"/>
    </i>
    <i>
      <x v="7"/>
    </i>
    <i t="grand">
      <x/>
    </i>
  </rowItems>
  <colItems count="1">
    <i/>
  </colItems>
  <dataFields count="1">
    <dataField name="Sum of Days_on_Market"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FD773A-DE8B-497B-AA3A-64801A3D7733}"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reas">
  <location ref="A3:B10" firstHeaderRow="1" firstDataRow="1" firstDataCol="1"/>
  <pivotFields count="14">
    <pivotField showAll="0"/>
    <pivotField showAll="0"/>
    <pivotField axis="axisRow" showAll="0">
      <items count="7">
        <item x="2"/>
        <item x="3"/>
        <item x="0"/>
        <item x="4"/>
        <item x="1"/>
        <item x="5"/>
        <item t="default"/>
      </items>
    </pivotField>
    <pivotField dataField="1" showAll="0">
      <items count="10">
        <item x="0"/>
        <item x="1"/>
        <item x="2"/>
        <item x="3"/>
        <item x="4"/>
        <item x="5"/>
        <item x="6"/>
        <item x="7"/>
        <item x="8"/>
        <item t="default"/>
      </items>
    </pivotField>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Price"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A65AAE-C5B5-41F1-9D86-11445CA3B891}" sourceName="Region">
  <pivotTables>
    <pivotTable tabId="6" name="PivotTable1"/>
    <pivotTable tabId="6" name="PivotTable3"/>
    <pivotTable tabId="6" name="PivotTable4"/>
    <pivotTable tabId="6" name="PivotTable5"/>
    <pivotTable tabId="6" name="PivotTable6"/>
  </pivotTables>
  <data>
    <tabular pivotCacheId="14494055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4C64808-E98D-4E09-A2EB-84C7BA75023F}" sourceName="Product">
  <pivotTables>
    <pivotTable tabId="6" name="PivotTable3"/>
    <pivotTable tabId="6" name="PivotTable1"/>
    <pivotTable tabId="6" name="PivotTable4"/>
    <pivotTable tabId="6" name="PivotTable5"/>
    <pivotTable tabId="6" name="PivotTable6"/>
  </pivotTables>
  <data>
    <tabular pivotCacheId="14494055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9A1AC3-B7FC-47B7-9F7F-4A04733E9B00}" sourceName="Department">
  <pivotTables>
    <pivotTable tabId="7" name="PivotTable7"/>
  </pivotTables>
  <data>
    <tabular pivotCacheId="1200001611">
      <items count="6">
        <i x="0" s="1"/>
        <i x="3" s="1"/>
        <i x="4" s="1"/>
        <i x="2"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69101C4-AF5E-442A-B77E-A0685884D051}" sourceName="Location">
  <pivotTables>
    <pivotTable tabId="8" name="PivotTable8"/>
    <pivotTable tabId="8" name="PivotTable10"/>
    <pivotTable tabId="8" name="PivotTable9"/>
  </pivotTables>
  <data>
    <tabular pivotCacheId="1614859594">
      <items count="6">
        <i x="2" s="1"/>
        <i x="3" s="1"/>
        <i x="0" s="1"/>
        <i x="4"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CA1A9E-9FA6-4913-9A1C-8D253FD0F13B}" cache="Slicer_Region" caption="Region" rowHeight="234950"/>
  <slicer name="Product" xr10:uid="{19B0C5BC-ED2D-4062-B193-84F2FBCAA389}"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8B5A9FB-C362-4C2D-B8F2-C89A8FDEE9C6}"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2B30175-2EF0-464A-913A-15EF27FCBCFF}" cache="Slicer_Location" caption="Location"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7" sqref="B7"/>
    </sheetView>
  </sheetViews>
  <sheetFormatPr defaultColWidth="14.44140625" defaultRowHeight="15" customHeight="1" x14ac:dyDescent="0.3"/>
  <cols>
    <col min="1" max="1" width="8.6640625" customWidth="1"/>
    <col min="2" max="2" width="56.88671875" customWidth="1"/>
    <col min="3" max="26" width="8.6640625" customWidth="1"/>
  </cols>
  <sheetData>
    <row r="1" spans="1:26" ht="14.4" x14ac:dyDescent="0.3">
      <c r="A1" s="1" t="s">
        <v>0</v>
      </c>
      <c r="B1" s="1" t="s">
        <v>1</v>
      </c>
      <c r="C1" s="2"/>
      <c r="D1" s="2"/>
      <c r="E1" s="2"/>
      <c r="F1" s="2"/>
      <c r="G1" s="2"/>
      <c r="H1" s="2"/>
      <c r="I1" s="2"/>
      <c r="J1" s="2"/>
      <c r="K1" s="2"/>
      <c r="L1" s="2"/>
      <c r="M1" s="2"/>
      <c r="N1" s="2"/>
      <c r="O1" s="2"/>
      <c r="P1" s="2"/>
      <c r="Q1" s="2"/>
      <c r="R1" s="2"/>
      <c r="S1" s="2"/>
      <c r="T1" s="2"/>
      <c r="U1" s="2"/>
      <c r="V1" s="2"/>
      <c r="W1" s="2"/>
      <c r="X1" s="2"/>
      <c r="Y1" s="2"/>
      <c r="Z1" s="2"/>
    </row>
    <row r="2" spans="1:26" ht="14.4" x14ac:dyDescent="0.3">
      <c r="A2" s="3" t="s">
        <v>2</v>
      </c>
      <c r="B2" s="4" t="s">
        <v>3</v>
      </c>
      <c r="C2" s="2"/>
      <c r="D2" s="2"/>
      <c r="E2" s="2"/>
      <c r="F2" s="2"/>
      <c r="G2" s="2"/>
      <c r="H2" s="2"/>
      <c r="I2" s="2"/>
      <c r="J2" s="2"/>
      <c r="K2" s="2"/>
      <c r="L2" s="2"/>
      <c r="M2" s="2"/>
      <c r="N2" s="2"/>
      <c r="O2" s="2"/>
      <c r="P2" s="2"/>
      <c r="Q2" s="2"/>
      <c r="R2" s="2"/>
      <c r="S2" s="2"/>
      <c r="T2" s="2"/>
      <c r="U2" s="2"/>
      <c r="V2" s="2"/>
      <c r="W2" s="2"/>
      <c r="X2" s="2"/>
      <c r="Y2" s="2"/>
      <c r="Z2" s="2"/>
    </row>
    <row r="3" spans="1:26" ht="14.4" x14ac:dyDescent="0.3">
      <c r="A3" s="3" t="s">
        <v>4</v>
      </c>
      <c r="B3" s="4" t="s">
        <v>5</v>
      </c>
      <c r="C3" s="2"/>
      <c r="D3" s="2"/>
      <c r="E3" s="2"/>
      <c r="F3" s="2"/>
      <c r="G3" s="2"/>
      <c r="H3" s="2"/>
      <c r="I3" s="2"/>
      <c r="J3" s="2"/>
      <c r="K3" s="2"/>
      <c r="L3" s="2"/>
      <c r="M3" s="2"/>
      <c r="N3" s="2"/>
      <c r="O3" s="2"/>
      <c r="P3" s="2"/>
      <c r="Q3" s="2"/>
      <c r="R3" s="2"/>
      <c r="S3" s="2"/>
      <c r="T3" s="2"/>
      <c r="U3" s="2"/>
      <c r="V3" s="2"/>
      <c r="W3" s="2"/>
      <c r="X3" s="2"/>
      <c r="Y3" s="2"/>
      <c r="Z3" s="2"/>
    </row>
    <row r="4" spans="1:26" ht="14.4" x14ac:dyDescent="0.3">
      <c r="A4" s="3" t="s">
        <v>6</v>
      </c>
      <c r="B4" s="4" t="s">
        <v>7</v>
      </c>
      <c r="C4" s="2"/>
      <c r="D4" s="2"/>
      <c r="E4" s="2"/>
      <c r="F4" s="2"/>
      <c r="G4" s="2"/>
      <c r="H4" s="2"/>
      <c r="I4" s="2"/>
      <c r="J4" s="2"/>
      <c r="K4" s="2"/>
      <c r="L4" s="2"/>
      <c r="M4" s="2"/>
      <c r="N4" s="2"/>
      <c r="O4" s="2"/>
      <c r="P4" s="2"/>
      <c r="Q4" s="2"/>
      <c r="R4" s="2"/>
      <c r="S4" s="2"/>
      <c r="T4" s="2"/>
      <c r="U4" s="2"/>
      <c r="V4" s="2"/>
      <c r="W4" s="2"/>
      <c r="X4" s="2"/>
      <c r="Y4" s="2"/>
      <c r="Z4" s="2"/>
    </row>
    <row r="5" spans="1:26" ht="14.4" x14ac:dyDescent="0.3">
      <c r="A5" s="3" t="s">
        <v>8</v>
      </c>
      <c r="B5" s="4" t="s">
        <v>9</v>
      </c>
      <c r="C5" s="2"/>
      <c r="D5" s="2"/>
      <c r="E5" s="2"/>
      <c r="F5" s="2"/>
      <c r="G5" s="2"/>
      <c r="H5" s="2"/>
      <c r="I5" s="2"/>
      <c r="J5" s="2"/>
      <c r="K5" s="2"/>
      <c r="L5" s="2"/>
      <c r="M5" s="2"/>
      <c r="N5" s="2"/>
      <c r="O5" s="2"/>
      <c r="P5" s="2"/>
      <c r="Q5" s="2"/>
      <c r="R5" s="2"/>
      <c r="S5" s="2"/>
      <c r="T5" s="2"/>
      <c r="U5" s="2"/>
      <c r="V5" s="2"/>
      <c r="W5" s="2"/>
      <c r="X5" s="2"/>
      <c r="Y5" s="2"/>
      <c r="Z5" s="2"/>
    </row>
    <row r="6" spans="1:26" ht="14.4" x14ac:dyDescent="0.3">
      <c r="A6" s="3" t="s">
        <v>10</v>
      </c>
      <c r="B6" s="4" t="s">
        <v>11</v>
      </c>
      <c r="C6" s="2"/>
      <c r="D6" s="2"/>
      <c r="E6" s="2"/>
      <c r="F6" s="2"/>
      <c r="G6" s="2"/>
      <c r="H6" s="2"/>
      <c r="I6" s="2"/>
      <c r="J6" s="2"/>
      <c r="K6" s="2"/>
      <c r="L6" s="2"/>
      <c r="M6" s="2"/>
      <c r="N6" s="2"/>
      <c r="O6" s="2"/>
      <c r="P6" s="2"/>
      <c r="Q6" s="2"/>
      <c r="R6" s="2"/>
      <c r="S6" s="2"/>
      <c r="T6" s="2"/>
      <c r="U6" s="2"/>
      <c r="V6" s="2"/>
      <c r="W6" s="2"/>
      <c r="X6" s="2"/>
      <c r="Y6" s="2"/>
      <c r="Z6" s="2"/>
    </row>
    <row r="7" spans="1:26" ht="14.4" x14ac:dyDescent="0.3">
      <c r="A7" s="3" t="s">
        <v>12</v>
      </c>
      <c r="B7" s="4" t="s">
        <v>13</v>
      </c>
      <c r="C7" s="2"/>
      <c r="D7" s="2"/>
      <c r="E7" s="2"/>
      <c r="F7" s="2"/>
      <c r="G7" s="2"/>
      <c r="H7" s="2"/>
      <c r="I7" s="2"/>
      <c r="J7" s="2"/>
      <c r="K7" s="2"/>
      <c r="L7" s="2"/>
      <c r="M7" s="2"/>
      <c r="N7" s="2"/>
      <c r="O7" s="2"/>
      <c r="P7" s="2"/>
      <c r="Q7" s="2"/>
      <c r="R7" s="2"/>
      <c r="S7" s="2"/>
      <c r="T7" s="2"/>
      <c r="U7" s="2"/>
      <c r="V7" s="2"/>
      <c r="W7" s="2"/>
      <c r="X7" s="2"/>
      <c r="Y7" s="2"/>
      <c r="Z7" s="2"/>
    </row>
    <row r="8" spans="1:26" ht="14.4" x14ac:dyDescent="0.3">
      <c r="A8" s="2"/>
      <c r="B8" s="5"/>
      <c r="C8" s="2"/>
      <c r="D8" s="2"/>
      <c r="E8" s="2"/>
      <c r="F8" s="2"/>
      <c r="G8" s="2"/>
      <c r="H8" s="2"/>
      <c r="I8" s="2"/>
      <c r="J8" s="2"/>
      <c r="K8" s="2"/>
      <c r="L8" s="2"/>
      <c r="M8" s="2"/>
      <c r="N8" s="2"/>
      <c r="O8" s="2"/>
      <c r="P8" s="2"/>
      <c r="Q8" s="2"/>
      <c r="R8" s="2"/>
      <c r="S8" s="2"/>
      <c r="T8" s="2"/>
      <c r="U8" s="2"/>
      <c r="V8" s="2"/>
      <c r="W8" s="2"/>
      <c r="X8" s="2"/>
      <c r="Y8" s="2"/>
      <c r="Z8" s="2"/>
    </row>
    <row r="9" spans="1:26" ht="14.4" x14ac:dyDescent="0.3">
      <c r="A9" s="2"/>
      <c r="B9" s="5"/>
      <c r="C9" s="2"/>
      <c r="D9" s="2"/>
      <c r="E9" s="2"/>
      <c r="F9" s="2"/>
      <c r="G9" s="2"/>
      <c r="H9" s="2"/>
      <c r="I9" s="2"/>
      <c r="J9" s="2"/>
      <c r="K9" s="2"/>
      <c r="L9" s="2"/>
      <c r="M9" s="2"/>
      <c r="N9" s="2"/>
      <c r="O9" s="2"/>
      <c r="P9" s="2"/>
      <c r="Q9" s="2"/>
      <c r="R9" s="2"/>
      <c r="S9" s="2"/>
      <c r="T9" s="2"/>
      <c r="U9" s="2"/>
      <c r="V9" s="2"/>
      <c r="W9" s="2"/>
      <c r="X9" s="2"/>
      <c r="Y9" s="2"/>
      <c r="Z9" s="2"/>
    </row>
    <row r="10" spans="1:26" ht="14.4" x14ac:dyDescent="0.3">
      <c r="A10" s="2"/>
      <c r="B10" s="5"/>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5"/>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2"/>
      <c r="B12" s="5"/>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2"/>
      <c r="B13" s="5"/>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5"/>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5"/>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5"/>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5"/>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5"/>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5"/>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5"/>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5"/>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5"/>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5"/>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5"/>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5"/>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5"/>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5"/>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5"/>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5"/>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5"/>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5"/>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5"/>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5"/>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5"/>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5"/>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5"/>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5"/>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5"/>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5"/>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5"/>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5"/>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5"/>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5"/>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5"/>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5"/>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5"/>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5"/>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5"/>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5"/>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5"/>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5"/>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5"/>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5"/>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5"/>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5"/>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5"/>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5"/>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5"/>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5"/>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5"/>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5"/>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5"/>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5"/>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5"/>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5"/>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5"/>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5"/>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5"/>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5"/>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5"/>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5"/>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5"/>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5"/>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5"/>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5"/>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5"/>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5"/>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5"/>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5"/>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5"/>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5"/>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5"/>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5"/>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5"/>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5"/>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5"/>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5"/>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5"/>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5"/>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5"/>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5"/>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5"/>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5"/>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5"/>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5"/>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5"/>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5"/>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5"/>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5"/>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5"/>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5"/>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5"/>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5"/>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5"/>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5"/>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5"/>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5"/>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5"/>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5"/>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5"/>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5"/>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5"/>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5"/>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5"/>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5"/>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5"/>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5"/>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5"/>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5"/>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5"/>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5"/>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5"/>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5"/>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5"/>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5"/>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5"/>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5"/>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5"/>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5"/>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5"/>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5"/>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5"/>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5"/>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5"/>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5"/>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5"/>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5"/>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5"/>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5"/>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5"/>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5"/>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5"/>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5"/>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5"/>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5"/>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5"/>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5"/>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5"/>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5"/>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5"/>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5"/>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5"/>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5"/>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5"/>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5"/>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5"/>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5"/>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5"/>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5"/>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5"/>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5"/>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5"/>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5"/>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5"/>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5"/>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5"/>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5"/>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5"/>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5"/>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5"/>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5"/>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5"/>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5"/>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5"/>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5"/>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5"/>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5"/>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5"/>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5"/>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5"/>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5"/>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5"/>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5"/>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5"/>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5"/>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5"/>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5"/>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5"/>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5"/>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5"/>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5"/>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5"/>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5"/>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5"/>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5"/>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5"/>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5"/>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5"/>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5"/>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5"/>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5"/>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5"/>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5"/>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5"/>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5"/>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5"/>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5"/>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5"/>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5"/>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5"/>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5"/>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5"/>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5"/>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5"/>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5"/>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5"/>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5"/>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5"/>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5"/>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5"/>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5"/>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5"/>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5"/>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5"/>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5"/>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5"/>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5"/>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5"/>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5"/>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5"/>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5"/>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5"/>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5"/>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5"/>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5"/>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5"/>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5"/>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5"/>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5"/>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5"/>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5"/>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5"/>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5"/>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5"/>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5"/>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5"/>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5"/>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5"/>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5"/>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5"/>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5"/>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5"/>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5"/>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5"/>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5"/>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5"/>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5"/>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5"/>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5"/>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5"/>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5"/>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5"/>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5"/>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5"/>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5"/>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5"/>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5"/>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5"/>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5"/>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5"/>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5"/>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5"/>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5"/>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5"/>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5"/>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5"/>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5"/>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5"/>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5"/>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5"/>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5"/>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5"/>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5"/>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5"/>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5"/>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5"/>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5"/>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5"/>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5"/>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5"/>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5"/>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5"/>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5"/>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5"/>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5"/>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5"/>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5"/>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5"/>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5"/>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5"/>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5"/>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5"/>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5"/>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5"/>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5"/>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5"/>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5"/>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5"/>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5"/>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5"/>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5"/>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5"/>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5"/>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5"/>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5"/>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5"/>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5"/>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5"/>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5"/>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5"/>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5"/>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5"/>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5"/>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5"/>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5"/>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5"/>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5"/>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5"/>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5"/>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5"/>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5"/>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5"/>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5"/>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5"/>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5"/>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5"/>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5"/>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5"/>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5"/>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5"/>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5"/>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5"/>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5"/>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5"/>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5"/>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5"/>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5"/>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5"/>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5"/>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5"/>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5"/>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5"/>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5"/>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5"/>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5"/>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5"/>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5"/>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5"/>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5"/>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5"/>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5"/>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5"/>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5"/>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5"/>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5"/>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5"/>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5"/>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5"/>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5"/>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5"/>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5"/>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5"/>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5"/>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5"/>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5"/>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5"/>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5"/>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5"/>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5"/>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5"/>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5"/>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5"/>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5"/>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5"/>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5"/>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5"/>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5"/>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5"/>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5"/>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5"/>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5"/>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5"/>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5"/>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5"/>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5"/>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5"/>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5"/>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5"/>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5"/>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5"/>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5"/>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5"/>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5"/>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5"/>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5"/>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5"/>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5"/>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5"/>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5"/>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5"/>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5"/>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5"/>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5"/>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5"/>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5"/>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5"/>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5"/>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5"/>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5"/>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5"/>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5"/>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5"/>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5"/>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5"/>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5"/>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5"/>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5"/>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5"/>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5"/>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5"/>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5"/>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5"/>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5"/>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5"/>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5"/>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5"/>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5"/>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5"/>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5"/>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5"/>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5"/>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5"/>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5"/>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5"/>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5"/>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5"/>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5"/>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5"/>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5"/>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5"/>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5"/>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5"/>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5"/>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5"/>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5"/>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5"/>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5"/>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5"/>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5"/>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5"/>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5"/>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5"/>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5"/>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5"/>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5"/>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5"/>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5"/>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5"/>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5"/>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5"/>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5"/>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5"/>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5"/>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5"/>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5"/>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5"/>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5"/>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5"/>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5"/>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5"/>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5"/>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5"/>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5"/>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5"/>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5"/>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5"/>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5"/>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5"/>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5"/>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5"/>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5"/>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5"/>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5"/>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5"/>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5"/>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5"/>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5"/>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5"/>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5"/>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5"/>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5"/>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5"/>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5"/>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5"/>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5"/>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5"/>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5"/>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5"/>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5"/>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5"/>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5"/>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5"/>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5"/>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5"/>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5"/>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5"/>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5"/>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5"/>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5"/>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5"/>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5"/>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5"/>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5"/>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5"/>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5"/>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5"/>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5"/>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5"/>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5"/>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5"/>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5"/>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5"/>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5"/>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5"/>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5"/>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5"/>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5"/>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5"/>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5"/>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5"/>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5"/>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5"/>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5"/>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5"/>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5"/>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5"/>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5"/>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5"/>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5"/>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5"/>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5"/>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5"/>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5"/>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5"/>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5"/>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5"/>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5"/>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5"/>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5"/>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5"/>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5"/>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5"/>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5"/>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5"/>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5"/>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5"/>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5"/>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5"/>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5"/>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5"/>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5"/>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5"/>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5"/>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5"/>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5"/>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5"/>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5"/>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5"/>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5"/>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5"/>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5"/>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5"/>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5"/>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5"/>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5"/>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5"/>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5"/>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5"/>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5"/>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5"/>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5"/>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5"/>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5"/>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5"/>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5"/>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5"/>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5"/>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5"/>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5"/>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5"/>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5"/>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5"/>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5"/>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5"/>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5"/>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5"/>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5"/>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5"/>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5"/>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5"/>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5"/>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5"/>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5"/>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5"/>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5"/>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5"/>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5"/>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5"/>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5"/>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5"/>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5"/>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5"/>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5"/>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5"/>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5"/>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5"/>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5"/>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5"/>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5"/>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5"/>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5"/>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5"/>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5"/>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5"/>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5"/>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5"/>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5"/>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5"/>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5"/>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5"/>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5"/>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5"/>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5"/>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5"/>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5"/>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5"/>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5"/>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5"/>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5"/>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5"/>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5"/>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5"/>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5"/>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5"/>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5"/>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5"/>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5"/>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5"/>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5"/>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5"/>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5"/>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5"/>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5"/>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5"/>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5"/>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5"/>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5"/>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5"/>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5"/>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5"/>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5"/>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5"/>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5"/>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5"/>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5"/>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5"/>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5"/>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5"/>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5"/>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5"/>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5"/>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5"/>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5"/>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5"/>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5"/>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5"/>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5"/>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5"/>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5"/>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5"/>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5"/>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5"/>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5"/>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5"/>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5"/>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5"/>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5"/>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5"/>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5"/>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5"/>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5"/>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5"/>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5"/>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5"/>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5"/>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5"/>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5"/>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5"/>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5"/>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5"/>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5"/>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5"/>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5"/>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5"/>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5"/>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5"/>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5"/>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5"/>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5"/>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5"/>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5"/>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5"/>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5"/>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5"/>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5"/>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5"/>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5"/>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5"/>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5"/>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5"/>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5"/>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5"/>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5"/>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5"/>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5"/>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5"/>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5"/>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5"/>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5"/>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5"/>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5"/>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5"/>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5"/>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5"/>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5"/>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5"/>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5"/>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5"/>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5"/>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5"/>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5"/>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5"/>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5"/>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5"/>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5"/>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5"/>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5"/>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5"/>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5"/>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5"/>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5"/>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5"/>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5"/>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5"/>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5"/>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5"/>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5"/>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5"/>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5"/>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5"/>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5"/>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5"/>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5"/>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5"/>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5"/>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5"/>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5"/>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5"/>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5"/>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5"/>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5"/>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5"/>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5"/>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5"/>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5"/>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5"/>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5"/>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5"/>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5"/>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5"/>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5"/>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5"/>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5"/>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5"/>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5"/>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5"/>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5"/>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5"/>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5"/>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5"/>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5"/>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5"/>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5"/>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5"/>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5"/>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5"/>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5"/>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5"/>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5"/>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5"/>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5"/>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5"/>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5"/>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5"/>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5"/>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5"/>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5"/>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5"/>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5"/>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5"/>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5"/>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5"/>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5"/>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5"/>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5"/>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5"/>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5"/>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5"/>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5"/>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5"/>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5"/>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5"/>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5"/>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5"/>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5"/>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5"/>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5"/>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5"/>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5"/>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5"/>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5"/>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5"/>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5"/>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5"/>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5"/>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5"/>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5"/>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5"/>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5"/>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5"/>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5"/>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5"/>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5"/>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5"/>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5"/>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5"/>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5"/>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5"/>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5"/>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5"/>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5"/>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5"/>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5"/>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5"/>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5"/>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5"/>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5"/>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5"/>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5"/>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5"/>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5"/>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5"/>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5"/>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5"/>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5"/>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5"/>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5"/>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5"/>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5"/>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5"/>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5"/>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5"/>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5"/>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5"/>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5"/>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5"/>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5"/>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5"/>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5"/>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5"/>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5"/>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5"/>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5"/>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5"/>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5"/>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5"/>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5"/>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5"/>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5"/>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5"/>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5"/>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5"/>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5"/>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5"/>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5"/>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5"/>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5"/>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5"/>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5"/>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5"/>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5"/>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5"/>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5"/>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5"/>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5"/>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5"/>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5"/>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5"/>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5"/>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5"/>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5"/>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5"/>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5"/>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5"/>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5"/>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5"/>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5"/>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5"/>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5"/>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5"/>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5"/>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5"/>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5"/>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5"/>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5"/>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5"/>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5"/>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5"/>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5"/>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5"/>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5"/>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5"/>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5"/>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5"/>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5"/>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5"/>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5"/>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5"/>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5"/>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5"/>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5"/>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5"/>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5"/>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5"/>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5"/>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5"/>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5"/>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5"/>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5"/>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5"/>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5"/>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5"/>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5"/>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5"/>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5"/>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5"/>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5"/>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5"/>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5"/>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5"/>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5"/>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5"/>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5"/>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5"/>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5"/>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5"/>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5"/>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5"/>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5"/>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5"/>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5"/>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5"/>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5"/>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5"/>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5"/>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5"/>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5"/>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5"/>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5"/>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5"/>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5"/>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5"/>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5"/>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5"/>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5"/>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5"/>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5"/>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5"/>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5"/>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5"/>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2867C-5849-4565-9968-E832E8EB88F8}">
  <dimension ref="A3:T34"/>
  <sheetViews>
    <sheetView workbookViewId="0">
      <selection activeCell="R7" sqref="R7"/>
    </sheetView>
  </sheetViews>
  <sheetFormatPr defaultRowHeight="14.4" x14ac:dyDescent="0.3"/>
  <cols>
    <col min="1" max="1" width="12.5546875" bestFit="1" customWidth="1"/>
    <col min="2" max="2" width="14.88671875" bestFit="1" customWidth="1"/>
    <col min="3" max="3" width="11.6640625" bestFit="1" customWidth="1"/>
    <col min="4" max="4" width="12.5546875" bestFit="1" customWidth="1"/>
    <col min="5" max="5" width="11.6640625" bestFit="1" customWidth="1"/>
    <col min="7" max="7" width="12.5546875" bestFit="1" customWidth="1"/>
    <col min="8" max="8" width="11.6640625" bestFit="1" customWidth="1"/>
    <col min="18" max="18" width="11.6640625" bestFit="1" customWidth="1"/>
  </cols>
  <sheetData>
    <row r="3" spans="1:20" x14ac:dyDescent="0.3">
      <c r="A3" s="28" t="s">
        <v>320</v>
      </c>
      <c r="B3" t="s">
        <v>323</v>
      </c>
      <c r="D3" s="28" t="s">
        <v>320</v>
      </c>
      <c r="E3" t="s">
        <v>323</v>
      </c>
      <c r="G3" s="28" t="s">
        <v>320</v>
      </c>
      <c r="H3" t="s">
        <v>323</v>
      </c>
    </row>
    <row r="4" spans="1:20" x14ac:dyDescent="0.3">
      <c r="A4" s="29" t="s">
        <v>23</v>
      </c>
      <c r="B4" s="30">
        <v>17718</v>
      </c>
      <c r="D4" s="29" t="s">
        <v>20</v>
      </c>
      <c r="E4" s="30">
        <v>15228</v>
      </c>
      <c r="G4" s="29" t="s">
        <v>324</v>
      </c>
      <c r="H4" s="30">
        <v>1374</v>
      </c>
      <c r="R4" s="19"/>
      <c r="S4" s="20"/>
      <c r="T4" s="21"/>
    </row>
    <row r="5" spans="1:20" x14ac:dyDescent="0.3">
      <c r="A5" s="29" t="s">
        <v>19</v>
      </c>
      <c r="B5" s="30">
        <v>15228</v>
      </c>
      <c r="D5" s="29" t="s">
        <v>24</v>
      </c>
      <c r="E5" s="30">
        <v>17718</v>
      </c>
      <c r="G5" s="29" t="s">
        <v>325</v>
      </c>
      <c r="H5" s="30">
        <v>274</v>
      </c>
      <c r="R5" s="22"/>
      <c r="S5" s="23"/>
      <c r="T5" s="24"/>
    </row>
    <row r="6" spans="1:20" x14ac:dyDescent="0.3">
      <c r="A6" s="29" t="s">
        <v>21</v>
      </c>
      <c r="B6" s="30">
        <v>18219</v>
      </c>
      <c r="D6" s="29" t="s">
        <v>22</v>
      </c>
      <c r="E6" s="30">
        <v>18219</v>
      </c>
      <c r="G6" s="29" t="s">
        <v>326</v>
      </c>
      <c r="H6" s="30">
        <v>2362</v>
      </c>
      <c r="R6" s="22"/>
      <c r="S6" s="23"/>
      <c r="T6" s="24"/>
    </row>
    <row r="7" spans="1:20" x14ac:dyDescent="0.3">
      <c r="A7" s="29" t="s">
        <v>321</v>
      </c>
      <c r="B7" s="30">
        <v>51165</v>
      </c>
      <c r="D7" s="29" t="s">
        <v>321</v>
      </c>
      <c r="E7" s="30">
        <v>51165</v>
      </c>
      <c r="G7" s="29" t="s">
        <v>327</v>
      </c>
      <c r="H7" s="30">
        <v>2024</v>
      </c>
      <c r="R7" s="22"/>
      <c r="S7" s="23"/>
      <c r="T7" s="24"/>
    </row>
    <row r="8" spans="1:20" x14ac:dyDescent="0.3">
      <c r="G8" s="29" t="s">
        <v>328</v>
      </c>
      <c r="H8" s="30">
        <v>1587</v>
      </c>
      <c r="R8" s="22"/>
      <c r="S8" s="23"/>
      <c r="T8" s="24"/>
    </row>
    <row r="9" spans="1:20" x14ac:dyDescent="0.3">
      <c r="G9" s="29" t="s">
        <v>329</v>
      </c>
      <c r="H9" s="30">
        <v>1974</v>
      </c>
      <c r="R9" s="22"/>
      <c r="S9" s="23"/>
      <c r="T9" s="24"/>
    </row>
    <row r="10" spans="1:20" x14ac:dyDescent="0.3">
      <c r="A10" s="28" t="s">
        <v>320</v>
      </c>
      <c r="B10" t="s">
        <v>354</v>
      </c>
      <c r="C10" t="s">
        <v>323</v>
      </c>
      <c r="G10" s="29" t="s">
        <v>330</v>
      </c>
      <c r="H10" s="30">
        <v>762</v>
      </c>
      <c r="R10" s="22"/>
      <c r="S10" s="23"/>
      <c r="T10" s="24"/>
    </row>
    <row r="11" spans="1:20" x14ac:dyDescent="0.3">
      <c r="A11" s="29" t="s">
        <v>23</v>
      </c>
      <c r="B11" s="30">
        <v>1395</v>
      </c>
      <c r="C11" s="30">
        <v>17718</v>
      </c>
      <c r="G11" s="29" t="s">
        <v>331</v>
      </c>
      <c r="H11" s="30">
        <v>2612</v>
      </c>
      <c r="R11" s="22"/>
      <c r="S11" s="23"/>
      <c r="T11" s="24"/>
    </row>
    <row r="12" spans="1:20" x14ac:dyDescent="0.3">
      <c r="A12" s="29" t="s">
        <v>19</v>
      </c>
      <c r="B12" s="30">
        <v>1335</v>
      </c>
      <c r="C12" s="30">
        <v>15228</v>
      </c>
      <c r="G12" s="29" t="s">
        <v>332</v>
      </c>
      <c r="H12" s="30">
        <v>1487</v>
      </c>
      <c r="R12" s="22"/>
      <c r="S12" s="23"/>
      <c r="T12" s="24"/>
    </row>
    <row r="13" spans="1:20" x14ac:dyDescent="0.3">
      <c r="A13" s="29" t="s">
        <v>21</v>
      </c>
      <c r="B13" s="30">
        <v>1365</v>
      </c>
      <c r="C13" s="30">
        <v>18219</v>
      </c>
      <c r="G13" s="29" t="s">
        <v>333</v>
      </c>
      <c r="H13" s="30">
        <v>1674</v>
      </c>
      <c r="R13" s="22"/>
      <c r="S13" s="23"/>
      <c r="T13" s="24"/>
    </row>
    <row r="14" spans="1:20" x14ac:dyDescent="0.3">
      <c r="A14" s="29" t="s">
        <v>321</v>
      </c>
      <c r="B14" s="30">
        <v>4095</v>
      </c>
      <c r="C14" s="30">
        <v>51165</v>
      </c>
      <c r="G14" s="29" t="s">
        <v>334</v>
      </c>
      <c r="H14" s="30">
        <v>2612</v>
      </c>
      <c r="R14" s="22"/>
      <c r="S14" s="23"/>
      <c r="T14" s="24"/>
    </row>
    <row r="15" spans="1:20" x14ac:dyDescent="0.3">
      <c r="G15" s="29" t="s">
        <v>335</v>
      </c>
      <c r="H15" s="30">
        <v>1662</v>
      </c>
      <c r="R15" s="22"/>
      <c r="S15" s="23"/>
      <c r="T15" s="24"/>
    </row>
    <row r="16" spans="1:20" x14ac:dyDescent="0.3">
      <c r="G16" s="29" t="s">
        <v>336</v>
      </c>
      <c r="H16" s="30">
        <v>612</v>
      </c>
      <c r="R16" s="22"/>
      <c r="S16" s="23"/>
      <c r="T16" s="24"/>
    </row>
    <row r="17" spans="7:20" x14ac:dyDescent="0.3">
      <c r="G17" s="29" t="s">
        <v>337</v>
      </c>
      <c r="H17" s="30">
        <v>2275</v>
      </c>
      <c r="R17" s="22"/>
      <c r="S17" s="23"/>
      <c r="T17" s="24"/>
    </row>
    <row r="18" spans="7:20" x14ac:dyDescent="0.3">
      <c r="G18" s="29" t="s">
        <v>338</v>
      </c>
      <c r="H18" s="30">
        <v>2449</v>
      </c>
      <c r="R18" s="22"/>
      <c r="S18" s="23"/>
      <c r="T18" s="24"/>
    </row>
    <row r="19" spans="7:20" x14ac:dyDescent="0.3">
      <c r="G19" s="29" t="s">
        <v>339</v>
      </c>
      <c r="H19" s="30">
        <v>1999</v>
      </c>
      <c r="R19" s="22"/>
      <c r="S19" s="23"/>
      <c r="T19" s="24"/>
    </row>
    <row r="20" spans="7:20" x14ac:dyDescent="0.3">
      <c r="G20" s="29" t="s">
        <v>340</v>
      </c>
      <c r="H20" s="30">
        <v>2050</v>
      </c>
      <c r="R20" s="22"/>
      <c r="S20" s="23"/>
      <c r="T20" s="24"/>
    </row>
    <row r="21" spans="7:20" x14ac:dyDescent="0.3">
      <c r="G21" s="29" t="s">
        <v>341</v>
      </c>
      <c r="H21" s="30">
        <v>1274</v>
      </c>
      <c r="R21" s="25"/>
      <c r="S21" s="26"/>
      <c r="T21" s="27"/>
    </row>
    <row r="22" spans="7:20" x14ac:dyDescent="0.3">
      <c r="G22" s="29" t="s">
        <v>342</v>
      </c>
      <c r="H22" s="30">
        <v>1724</v>
      </c>
    </row>
    <row r="23" spans="7:20" x14ac:dyDescent="0.3">
      <c r="G23" s="29" t="s">
        <v>343</v>
      </c>
      <c r="H23" s="30">
        <v>1312</v>
      </c>
    </row>
    <row r="24" spans="7:20" x14ac:dyDescent="0.3">
      <c r="G24" s="29" t="s">
        <v>344</v>
      </c>
      <c r="H24" s="30">
        <v>699</v>
      </c>
    </row>
    <row r="25" spans="7:20" x14ac:dyDescent="0.3">
      <c r="G25" s="29" t="s">
        <v>345</v>
      </c>
      <c r="H25" s="30">
        <v>2361</v>
      </c>
    </row>
    <row r="26" spans="7:20" x14ac:dyDescent="0.3">
      <c r="G26" s="29" t="s">
        <v>346</v>
      </c>
      <c r="H26" s="30">
        <v>1862</v>
      </c>
    </row>
    <row r="27" spans="7:20" x14ac:dyDescent="0.3">
      <c r="G27" s="29" t="s">
        <v>347</v>
      </c>
      <c r="H27" s="30">
        <v>1587</v>
      </c>
    </row>
    <row r="28" spans="7:20" x14ac:dyDescent="0.3">
      <c r="G28" s="29" t="s">
        <v>348</v>
      </c>
      <c r="H28" s="30">
        <v>874</v>
      </c>
    </row>
    <row r="29" spans="7:20" x14ac:dyDescent="0.3">
      <c r="G29" s="29" t="s">
        <v>349</v>
      </c>
      <c r="H29" s="30">
        <v>1561</v>
      </c>
    </row>
    <row r="30" spans="7:20" x14ac:dyDescent="0.3">
      <c r="G30" s="29" t="s">
        <v>350</v>
      </c>
      <c r="H30" s="30">
        <v>2475</v>
      </c>
    </row>
    <row r="31" spans="7:20" x14ac:dyDescent="0.3">
      <c r="G31" s="29" t="s">
        <v>351</v>
      </c>
      <c r="H31" s="30">
        <v>1824</v>
      </c>
    </row>
    <row r="32" spans="7:20" x14ac:dyDescent="0.3">
      <c r="G32" s="29" t="s">
        <v>352</v>
      </c>
      <c r="H32" s="30">
        <v>2074</v>
      </c>
    </row>
    <row r="33" spans="7:8" x14ac:dyDescent="0.3">
      <c r="G33" s="29" t="s">
        <v>353</v>
      </c>
      <c r="H33" s="30">
        <v>1749</v>
      </c>
    </row>
    <row r="34" spans="7:8" x14ac:dyDescent="0.3">
      <c r="G34" s="29" t="s">
        <v>321</v>
      </c>
      <c r="H34" s="30">
        <v>51165</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BFF4-C173-4155-BDA3-63964A94CBF9}">
  <dimension ref="A3:I10"/>
  <sheetViews>
    <sheetView zoomScale="101" workbookViewId="0">
      <selection activeCell="M10" sqref="M10"/>
    </sheetView>
  </sheetViews>
  <sheetFormatPr defaultRowHeight="14.4" x14ac:dyDescent="0.3"/>
  <cols>
    <col min="1" max="1" width="13" bestFit="1" customWidth="1"/>
    <col min="2" max="2" width="24.77734375" bestFit="1" customWidth="1"/>
  </cols>
  <sheetData>
    <row r="3" spans="1:9" x14ac:dyDescent="0.3">
      <c r="A3" s="28" t="s">
        <v>320</v>
      </c>
      <c r="B3" t="s">
        <v>356</v>
      </c>
    </row>
    <row r="4" spans="1:9" x14ac:dyDescent="0.3">
      <c r="A4" s="29" t="s">
        <v>36</v>
      </c>
      <c r="B4" s="30">
        <v>118.94</v>
      </c>
      <c r="D4" s="31" t="s">
        <v>11</v>
      </c>
      <c r="E4" s="31"/>
      <c r="F4" s="31"/>
      <c r="G4" s="31"/>
      <c r="H4" s="32" t="s">
        <v>36</v>
      </c>
      <c r="I4" s="33"/>
    </row>
    <row r="5" spans="1:9" x14ac:dyDescent="0.3">
      <c r="A5" s="29" t="s">
        <v>17</v>
      </c>
      <c r="B5" s="30">
        <v>87.86999999999999</v>
      </c>
    </row>
    <row r="6" spans="1:9" x14ac:dyDescent="0.3">
      <c r="A6" s="29" t="s">
        <v>41</v>
      </c>
      <c r="B6" s="30">
        <v>73.08</v>
      </c>
    </row>
    <row r="7" spans="1:9" x14ac:dyDescent="0.3">
      <c r="A7" s="29" t="s">
        <v>39</v>
      </c>
      <c r="B7" s="30">
        <v>71.05</v>
      </c>
    </row>
    <row r="8" spans="1:9" x14ac:dyDescent="0.3">
      <c r="A8" s="29" t="s">
        <v>53</v>
      </c>
      <c r="B8" s="30">
        <v>64.34</v>
      </c>
    </row>
    <row r="9" spans="1:9" x14ac:dyDescent="0.3">
      <c r="A9" s="29" t="s">
        <v>355</v>
      </c>
      <c r="B9" s="30"/>
    </row>
    <row r="10" spans="1:9" x14ac:dyDescent="0.3">
      <c r="A10" s="29" t="s">
        <v>321</v>
      </c>
      <c r="B10" s="30">
        <v>415.28000000000003</v>
      </c>
    </row>
  </sheetData>
  <mergeCells count="2">
    <mergeCell ref="D4:G4"/>
    <mergeCell ref="H4:I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sqref="A1:E91"/>
    </sheetView>
  </sheetViews>
  <sheetFormatPr defaultColWidth="14.44140625" defaultRowHeight="15" customHeight="1" x14ac:dyDescent="0.3"/>
  <cols>
    <col min="1" max="1" width="18.88671875" customWidth="1"/>
    <col min="2" max="2" width="7" customWidth="1"/>
    <col min="3" max="3" width="7.88671875" customWidth="1"/>
    <col min="4" max="4" width="5.44140625" customWidth="1"/>
    <col min="5" max="5" width="8.5546875" customWidth="1"/>
    <col min="6" max="26" width="8.6640625" customWidth="1"/>
  </cols>
  <sheetData>
    <row r="1" spans="1:5" ht="14.4" x14ac:dyDescent="0.3">
      <c r="A1" s="6" t="s">
        <v>14</v>
      </c>
      <c r="B1" s="6" t="s">
        <v>15</v>
      </c>
      <c r="C1" s="6" t="s">
        <v>16</v>
      </c>
      <c r="D1" s="6" t="s">
        <v>17</v>
      </c>
      <c r="E1" s="6" t="s">
        <v>18</v>
      </c>
    </row>
    <row r="2" spans="1:5" ht="14.4" x14ac:dyDescent="0.3">
      <c r="A2" s="7">
        <v>45292</v>
      </c>
      <c r="B2" s="8" t="s">
        <v>19</v>
      </c>
      <c r="C2" s="8" t="s">
        <v>20</v>
      </c>
      <c r="D2" s="9">
        <v>550</v>
      </c>
      <c r="E2" s="9">
        <v>1</v>
      </c>
    </row>
    <row r="3" spans="1:5" ht="14.4" x14ac:dyDescent="0.3">
      <c r="A3" s="7">
        <v>45293</v>
      </c>
      <c r="B3" s="8" t="s">
        <v>21</v>
      </c>
      <c r="C3" s="8" t="s">
        <v>22</v>
      </c>
      <c r="D3" s="9">
        <v>137</v>
      </c>
      <c r="E3" s="9">
        <v>2</v>
      </c>
    </row>
    <row r="4" spans="1:5" ht="14.4" x14ac:dyDescent="0.3">
      <c r="A4" s="7">
        <v>45294</v>
      </c>
      <c r="B4" s="8" t="s">
        <v>23</v>
      </c>
      <c r="C4" s="8" t="s">
        <v>24</v>
      </c>
      <c r="D4" s="9">
        <v>700</v>
      </c>
      <c r="E4" s="9">
        <v>3</v>
      </c>
    </row>
    <row r="5" spans="1:5" ht="14.4" x14ac:dyDescent="0.3">
      <c r="A5" s="7">
        <v>45295</v>
      </c>
      <c r="B5" s="8" t="s">
        <v>19</v>
      </c>
      <c r="C5" s="8" t="s">
        <v>20</v>
      </c>
      <c r="D5" s="9">
        <v>1125</v>
      </c>
      <c r="E5" s="9">
        <v>4</v>
      </c>
    </row>
    <row r="6" spans="1:5" ht="14.4" x14ac:dyDescent="0.3">
      <c r="A6" s="7">
        <v>45296</v>
      </c>
      <c r="B6" s="8" t="s">
        <v>21</v>
      </c>
      <c r="C6" s="8" t="s">
        <v>22</v>
      </c>
      <c r="D6" s="9">
        <v>975</v>
      </c>
      <c r="E6" s="9">
        <v>5</v>
      </c>
    </row>
    <row r="7" spans="1:5" ht="14.4" x14ac:dyDescent="0.3">
      <c r="A7" s="7">
        <v>45297</v>
      </c>
      <c r="B7" s="8" t="s">
        <v>23</v>
      </c>
      <c r="C7" s="8" t="s">
        <v>24</v>
      </c>
      <c r="D7" s="9">
        <v>912</v>
      </c>
      <c r="E7" s="9">
        <v>6</v>
      </c>
    </row>
    <row r="8" spans="1:5" ht="14.4" x14ac:dyDescent="0.3">
      <c r="A8" s="7">
        <v>45298</v>
      </c>
      <c r="B8" s="8" t="s">
        <v>19</v>
      </c>
      <c r="C8" s="8" t="s">
        <v>20</v>
      </c>
      <c r="D8" s="9">
        <v>325</v>
      </c>
      <c r="E8" s="9">
        <v>7</v>
      </c>
    </row>
    <row r="9" spans="1:5" ht="14.4" x14ac:dyDescent="0.3">
      <c r="A9" s="7">
        <v>45299</v>
      </c>
      <c r="B9" s="8" t="s">
        <v>21</v>
      </c>
      <c r="C9" s="8" t="s">
        <v>22</v>
      </c>
      <c r="D9" s="9">
        <v>850</v>
      </c>
      <c r="E9" s="9">
        <v>8</v>
      </c>
    </row>
    <row r="10" spans="1:5" ht="14.4" x14ac:dyDescent="0.3">
      <c r="A10" s="7">
        <v>45300</v>
      </c>
      <c r="B10" s="8" t="s">
        <v>23</v>
      </c>
      <c r="C10" s="8" t="s">
        <v>24</v>
      </c>
      <c r="D10" s="9">
        <v>275</v>
      </c>
      <c r="E10" s="9">
        <v>9</v>
      </c>
    </row>
    <row r="11" spans="1:5" ht="14.4" x14ac:dyDescent="0.3">
      <c r="A11" s="7">
        <v>45301</v>
      </c>
      <c r="B11" s="8" t="s">
        <v>19</v>
      </c>
      <c r="C11" s="8" t="s">
        <v>20</v>
      </c>
      <c r="D11" s="9">
        <v>337</v>
      </c>
      <c r="E11" s="9">
        <v>10</v>
      </c>
    </row>
    <row r="12" spans="1:5" ht="14.4" x14ac:dyDescent="0.3">
      <c r="A12" s="7">
        <v>45302</v>
      </c>
      <c r="B12" s="8" t="s">
        <v>21</v>
      </c>
      <c r="C12" s="8" t="s">
        <v>22</v>
      </c>
      <c r="D12" s="9">
        <v>800</v>
      </c>
      <c r="E12" s="9">
        <v>11</v>
      </c>
    </row>
    <row r="13" spans="1:5" ht="14.4" x14ac:dyDescent="0.3">
      <c r="A13" s="7">
        <v>45303</v>
      </c>
      <c r="B13" s="8" t="s">
        <v>23</v>
      </c>
      <c r="C13" s="8" t="s">
        <v>24</v>
      </c>
      <c r="D13" s="9">
        <v>250</v>
      </c>
      <c r="E13" s="9">
        <v>12</v>
      </c>
    </row>
    <row r="14" spans="1:5" ht="14.4" x14ac:dyDescent="0.3">
      <c r="A14" s="7">
        <v>45304</v>
      </c>
      <c r="B14" s="8" t="s">
        <v>19</v>
      </c>
      <c r="C14" s="8" t="s">
        <v>20</v>
      </c>
      <c r="D14" s="9">
        <v>25</v>
      </c>
      <c r="E14" s="9">
        <v>13</v>
      </c>
    </row>
    <row r="15" spans="1:5" ht="14.4" x14ac:dyDescent="0.3">
      <c r="A15" s="7">
        <v>45305</v>
      </c>
      <c r="B15" s="8" t="s">
        <v>21</v>
      </c>
      <c r="C15" s="8" t="s">
        <v>22</v>
      </c>
      <c r="D15" s="9">
        <v>900</v>
      </c>
      <c r="E15" s="9">
        <v>14</v>
      </c>
    </row>
    <row r="16" spans="1:5" ht="14.4" x14ac:dyDescent="0.3">
      <c r="A16" s="7">
        <v>45306</v>
      </c>
      <c r="B16" s="8" t="s">
        <v>23</v>
      </c>
      <c r="C16" s="8" t="s">
        <v>24</v>
      </c>
      <c r="D16" s="9">
        <v>825</v>
      </c>
      <c r="E16" s="9">
        <v>15</v>
      </c>
    </row>
    <row r="17" spans="1:10" ht="14.4" x14ac:dyDescent="0.3">
      <c r="A17" s="7">
        <v>45307</v>
      </c>
      <c r="B17" s="8" t="s">
        <v>19</v>
      </c>
      <c r="C17" s="8" t="s">
        <v>20</v>
      </c>
      <c r="D17" s="9">
        <v>312</v>
      </c>
      <c r="E17" s="9">
        <v>16</v>
      </c>
    </row>
    <row r="18" spans="1:10" ht="14.4" x14ac:dyDescent="0.3">
      <c r="A18" s="7">
        <v>45308</v>
      </c>
      <c r="B18" s="8" t="s">
        <v>21</v>
      </c>
      <c r="C18" s="8" t="s">
        <v>22</v>
      </c>
      <c r="D18" s="9">
        <v>600</v>
      </c>
      <c r="E18" s="9">
        <v>17</v>
      </c>
    </row>
    <row r="19" spans="1:10" ht="14.4" x14ac:dyDescent="0.3">
      <c r="A19" s="7">
        <v>45309</v>
      </c>
      <c r="B19" s="8" t="s">
        <v>23</v>
      </c>
      <c r="C19" s="8" t="s">
        <v>24</v>
      </c>
      <c r="D19" s="9">
        <v>462</v>
      </c>
      <c r="E19" s="9">
        <v>18</v>
      </c>
    </row>
    <row r="20" spans="1:10" ht="14.4" x14ac:dyDescent="0.3">
      <c r="A20" s="7">
        <v>45310</v>
      </c>
      <c r="B20" s="8" t="s">
        <v>19</v>
      </c>
      <c r="C20" s="8" t="s">
        <v>20</v>
      </c>
      <c r="D20" s="9">
        <v>237</v>
      </c>
      <c r="E20" s="9">
        <v>19</v>
      </c>
    </row>
    <row r="21" spans="1:10" ht="15.75" customHeight="1" x14ac:dyDescent="0.3">
      <c r="A21" s="7">
        <v>45311</v>
      </c>
      <c r="B21" s="8" t="s">
        <v>21</v>
      </c>
      <c r="C21" s="8" t="s">
        <v>22</v>
      </c>
      <c r="D21" s="9">
        <v>100</v>
      </c>
      <c r="E21" s="9">
        <v>20</v>
      </c>
    </row>
    <row r="22" spans="1:10" ht="15.75" customHeight="1" x14ac:dyDescent="0.3">
      <c r="A22" s="7">
        <v>45312</v>
      </c>
      <c r="B22" s="8" t="s">
        <v>23</v>
      </c>
      <c r="C22" s="8" t="s">
        <v>24</v>
      </c>
      <c r="D22" s="9">
        <v>87</v>
      </c>
      <c r="E22" s="9">
        <v>21</v>
      </c>
      <c r="J22" s="10" t="s">
        <v>25</v>
      </c>
    </row>
    <row r="23" spans="1:10" ht="15.75" customHeight="1" x14ac:dyDescent="0.3">
      <c r="A23" s="7">
        <v>45313</v>
      </c>
      <c r="B23" s="8" t="s">
        <v>19</v>
      </c>
      <c r="C23" s="8" t="s">
        <v>20</v>
      </c>
      <c r="D23" s="9">
        <v>737</v>
      </c>
      <c r="E23" s="9">
        <v>22</v>
      </c>
    </row>
    <row r="24" spans="1:10" ht="15.75" customHeight="1" x14ac:dyDescent="0.3">
      <c r="A24" s="7">
        <v>45314</v>
      </c>
      <c r="B24" s="8" t="s">
        <v>21</v>
      </c>
      <c r="C24" s="8" t="s">
        <v>22</v>
      </c>
      <c r="D24" s="9">
        <v>525</v>
      </c>
      <c r="E24" s="9">
        <v>23</v>
      </c>
    </row>
    <row r="25" spans="1:10" ht="15.75" customHeight="1" x14ac:dyDescent="0.3">
      <c r="A25" s="7">
        <v>45315</v>
      </c>
      <c r="B25" s="8" t="s">
        <v>23</v>
      </c>
      <c r="C25" s="8" t="s">
        <v>24</v>
      </c>
      <c r="D25" s="9">
        <v>887</v>
      </c>
      <c r="E25" s="9">
        <v>24</v>
      </c>
    </row>
    <row r="26" spans="1:10" ht="15.75" customHeight="1" x14ac:dyDescent="0.3">
      <c r="A26" s="7">
        <v>45316</v>
      </c>
      <c r="B26" s="8" t="s">
        <v>19</v>
      </c>
      <c r="C26" s="8" t="s">
        <v>20</v>
      </c>
      <c r="D26" s="9">
        <v>175</v>
      </c>
      <c r="E26" s="9">
        <v>25</v>
      </c>
    </row>
    <row r="27" spans="1:10" ht="15.75" customHeight="1" x14ac:dyDescent="0.3">
      <c r="A27" s="7">
        <v>45317</v>
      </c>
      <c r="B27" s="8" t="s">
        <v>21</v>
      </c>
      <c r="C27" s="8" t="s">
        <v>22</v>
      </c>
      <c r="D27" s="9">
        <v>12</v>
      </c>
      <c r="E27" s="9">
        <v>26</v>
      </c>
    </row>
    <row r="28" spans="1:10" ht="15.75" customHeight="1" x14ac:dyDescent="0.3">
      <c r="A28" s="7">
        <v>45318</v>
      </c>
      <c r="B28" s="8" t="s">
        <v>23</v>
      </c>
      <c r="C28" s="8" t="s">
        <v>24</v>
      </c>
      <c r="D28" s="9">
        <v>725</v>
      </c>
      <c r="E28" s="9">
        <v>27</v>
      </c>
    </row>
    <row r="29" spans="1:10" ht="15.75" customHeight="1" x14ac:dyDescent="0.3">
      <c r="A29" s="7">
        <v>45319</v>
      </c>
      <c r="B29" s="8" t="s">
        <v>19</v>
      </c>
      <c r="C29" s="8" t="s">
        <v>20</v>
      </c>
      <c r="D29" s="9">
        <v>637</v>
      </c>
      <c r="E29" s="9">
        <v>28</v>
      </c>
    </row>
    <row r="30" spans="1:10" ht="15.75" customHeight="1" x14ac:dyDescent="0.3">
      <c r="A30" s="7">
        <v>45320</v>
      </c>
      <c r="B30" s="8" t="s">
        <v>21</v>
      </c>
      <c r="C30" s="8" t="s">
        <v>22</v>
      </c>
      <c r="D30" s="9">
        <v>1062</v>
      </c>
      <c r="E30" s="9">
        <v>29</v>
      </c>
    </row>
    <row r="31" spans="1:10" ht="15.75" customHeight="1" x14ac:dyDescent="0.3">
      <c r="A31" s="7">
        <v>45321</v>
      </c>
      <c r="B31" s="8" t="s">
        <v>23</v>
      </c>
      <c r="C31" s="8" t="s">
        <v>24</v>
      </c>
      <c r="D31" s="9">
        <v>300</v>
      </c>
      <c r="E31" s="9">
        <v>30</v>
      </c>
    </row>
    <row r="32" spans="1:10" ht="15.75" customHeight="1" x14ac:dyDescent="0.3">
      <c r="A32" s="7">
        <v>45292</v>
      </c>
      <c r="B32" s="8" t="s">
        <v>19</v>
      </c>
      <c r="C32" s="8" t="s">
        <v>20</v>
      </c>
      <c r="D32" s="9">
        <v>162</v>
      </c>
      <c r="E32" s="9">
        <v>31</v>
      </c>
    </row>
    <row r="33" spans="1:5" ht="15.75" customHeight="1" x14ac:dyDescent="0.3">
      <c r="A33" s="7">
        <v>45293</v>
      </c>
      <c r="B33" s="8" t="s">
        <v>21</v>
      </c>
      <c r="C33" s="8" t="s">
        <v>22</v>
      </c>
      <c r="D33" s="9">
        <v>75</v>
      </c>
      <c r="E33" s="9">
        <v>32</v>
      </c>
    </row>
    <row r="34" spans="1:5" ht="15.75" customHeight="1" x14ac:dyDescent="0.3">
      <c r="A34" s="7">
        <v>45294</v>
      </c>
      <c r="B34" s="8" t="s">
        <v>23</v>
      </c>
      <c r="C34" s="8" t="s">
        <v>24</v>
      </c>
      <c r="D34" s="9">
        <v>612</v>
      </c>
      <c r="E34" s="9">
        <v>33</v>
      </c>
    </row>
    <row r="35" spans="1:5" ht="15.75" customHeight="1" x14ac:dyDescent="0.3">
      <c r="A35" s="7">
        <v>45295</v>
      </c>
      <c r="B35" s="8" t="s">
        <v>19</v>
      </c>
      <c r="C35" s="8" t="s">
        <v>20</v>
      </c>
      <c r="D35" s="9">
        <v>187</v>
      </c>
      <c r="E35" s="9">
        <v>34</v>
      </c>
    </row>
    <row r="36" spans="1:5" ht="15.75" customHeight="1" x14ac:dyDescent="0.3">
      <c r="A36" s="7">
        <v>45296</v>
      </c>
      <c r="B36" s="8" t="s">
        <v>21</v>
      </c>
      <c r="C36" s="8" t="s">
        <v>22</v>
      </c>
      <c r="D36" s="9">
        <v>125</v>
      </c>
      <c r="E36" s="9">
        <v>35</v>
      </c>
    </row>
    <row r="37" spans="1:5" ht="15.75" customHeight="1" x14ac:dyDescent="0.3">
      <c r="A37" s="7">
        <v>45297</v>
      </c>
      <c r="B37" s="8" t="s">
        <v>23</v>
      </c>
      <c r="C37" s="8" t="s">
        <v>24</v>
      </c>
      <c r="D37" s="9">
        <v>475</v>
      </c>
      <c r="E37" s="9">
        <v>36</v>
      </c>
    </row>
    <row r="38" spans="1:5" ht="15.75" customHeight="1" x14ac:dyDescent="0.3">
      <c r="A38" s="7">
        <v>45298</v>
      </c>
      <c r="B38" s="8" t="s">
        <v>19</v>
      </c>
      <c r="C38" s="8" t="s">
        <v>20</v>
      </c>
      <c r="D38" s="9">
        <v>287</v>
      </c>
      <c r="E38" s="9">
        <v>37</v>
      </c>
    </row>
    <row r="39" spans="1:5" ht="15.75" customHeight="1" x14ac:dyDescent="0.3">
      <c r="A39" s="7">
        <v>45299</v>
      </c>
      <c r="B39" s="8" t="s">
        <v>21</v>
      </c>
      <c r="C39" s="8" t="s">
        <v>22</v>
      </c>
      <c r="D39" s="9">
        <v>1012</v>
      </c>
      <c r="E39" s="9">
        <v>38</v>
      </c>
    </row>
    <row r="40" spans="1:5" ht="15.75" customHeight="1" x14ac:dyDescent="0.3">
      <c r="A40" s="7">
        <v>45300</v>
      </c>
      <c r="B40" s="8" t="s">
        <v>23</v>
      </c>
      <c r="C40" s="8" t="s">
        <v>24</v>
      </c>
      <c r="D40" s="9">
        <v>350</v>
      </c>
      <c r="E40" s="9">
        <v>39</v>
      </c>
    </row>
    <row r="41" spans="1:5" ht="15.75" customHeight="1" x14ac:dyDescent="0.3">
      <c r="A41" s="7">
        <v>45301</v>
      </c>
      <c r="B41" s="8" t="s">
        <v>19</v>
      </c>
      <c r="C41" s="8" t="s">
        <v>20</v>
      </c>
      <c r="D41" s="9">
        <v>950</v>
      </c>
      <c r="E41" s="9">
        <v>40</v>
      </c>
    </row>
    <row r="42" spans="1:5" ht="15.75" customHeight="1" x14ac:dyDescent="0.3">
      <c r="A42" s="7">
        <v>45302</v>
      </c>
      <c r="B42" s="8" t="s">
        <v>21</v>
      </c>
      <c r="C42" s="8" t="s">
        <v>22</v>
      </c>
      <c r="D42" s="9">
        <v>937</v>
      </c>
      <c r="E42" s="9">
        <v>41</v>
      </c>
    </row>
    <row r="43" spans="1:5" ht="15.75" customHeight="1" x14ac:dyDescent="0.3">
      <c r="A43" s="7">
        <v>45303</v>
      </c>
      <c r="B43" s="8" t="s">
        <v>23</v>
      </c>
      <c r="C43" s="8" t="s">
        <v>24</v>
      </c>
      <c r="D43" s="9">
        <v>787</v>
      </c>
      <c r="E43" s="9">
        <v>42</v>
      </c>
    </row>
    <row r="44" spans="1:5" ht="15.75" customHeight="1" x14ac:dyDescent="0.3">
      <c r="A44" s="7">
        <v>45304</v>
      </c>
      <c r="B44" s="8" t="s">
        <v>19</v>
      </c>
      <c r="C44" s="8" t="s">
        <v>20</v>
      </c>
      <c r="D44" s="9">
        <v>225</v>
      </c>
      <c r="E44" s="9">
        <v>43</v>
      </c>
    </row>
    <row r="45" spans="1:5" ht="15.75" customHeight="1" x14ac:dyDescent="0.3">
      <c r="A45" s="7">
        <v>45305</v>
      </c>
      <c r="B45" s="8" t="s">
        <v>21</v>
      </c>
      <c r="C45" s="8" t="s">
        <v>22</v>
      </c>
      <c r="D45" s="9">
        <v>450</v>
      </c>
      <c r="E45" s="9">
        <v>44</v>
      </c>
    </row>
    <row r="46" spans="1:5" ht="15.75" customHeight="1" x14ac:dyDescent="0.3">
      <c r="A46" s="7">
        <v>45306</v>
      </c>
      <c r="B46" s="8" t="s">
        <v>23</v>
      </c>
      <c r="C46" s="8" t="s">
        <v>24</v>
      </c>
      <c r="D46" s="9">
        <v>537</v>
      </c>
      <c r="E46" s="9">
        <v>45</v>
      </c>
    </row>
    <row r="47" spans="1:5" ht="15.75" customHeight="1" x14ac:dyDescent="0.3">
      <c r="A47" s="7">
        <v>45307</v>
      </c>
      <c r="B47" s="8" t="s">
        <v>19</v>
      </c>
      <c r="C47" s="8" t="s">
        <v>20</v>
      </c>
      <c r="D47" s="9">
        <v>1000</v>
      </c>
      <c r="E47" s="9">
        <v>46</v>
      </c>
    </row>
    <row r="48" spans="1:5" ht="15.75" customHeight="1" x14ac:dyDescent="0.3">
      <c r="A48" s="7">
        <v>45308</v>
      </c>
      <c r="B48" s="8" t="s">
        <v>21</v>
      </c>
      <c r="C48" s="8" t="s">
        <v>22</v>
      </c>
      <c r="D48" s="9">
        <v>425</v>
      </c>
      <c r="E48" s="9">
        <v>47</v>
      </c>
    </row>
    <row r="49" spans="1:5" ht="15.75" customHeight="1" x14ac:dyDescent="0.3">
      <c r="A49" s="7">
        <v>45309</v>
      </c>
      <c r="B49" s="8" t="s">
        <v>23</v>
      </c>
      <c r="C49" s="8" t="s">
        <v>24</v>
      </c>
      <c r="D49" s="9">
        <v>37</v>
      </c>
      <c r="E49" s="9">
        <v>48</v>
      </c>
    </row>
    <row r="50" spans="1:5" ht="15.75" customHeight="1" x14ac:dyDescent="0.3">
      <c r="A50" s="7">
        <v>45310</v>
      </c>
      <c r="B50" s="8" t="s">
        <v>19</v>
      </c>
      <c r="C50" s="8" t="s">
        <v>20</v>
      </c>
      <c r="D50" s="9">
        <v>812</v>
      </c>
      <c r="E50" s="9">
        <v>49</v>
      </c>
    </row>
    <row r="51" spans="1:5" ht="15.75" customHeight="1" x14ac:dyDescent="0.3">
      <c r="A51" s="7">
        <v>45311</v>
      </c>
      <c r="B51" s="8" t="s">
        <v>21</v>
      </c>
      <c r="C51" s="8" t="s">
        <v>22</v>
      </c>
      <c r="D51" s="9">
        <v>375</v>
      </c>
      <c r="E51" s="9">
        <v>50</v>
      </c>
    </row>
    <row r="52" spans="1:5" ht="15.75" customHeight="1" x14ac:dyDescent="0.3">
      <c r="A52" s="7">
        <v>45312</v>
      </c>
      <c r="B52" s="8" t="s">
        <v>23</v>
      </c>
      <c r="C52" s="8" t="s">
        <v>24</v>
      </c>
      <c r="D52" s="9">
        <v>400</v>
      </c>
      <c r="E52" s="9">
        <v>51</v>
      </c>
    </row>
    <row r="53" spans="1:5" ht="15.75" customHeight="1" x14ac:dyDescent="0.3">
      <c r="A53" s="7">
        <v>45313</v>
      </c>
      <c r="B53" s="8" t="s">
        <v>19</v>
      </c>
      <c r="C53" s="8" t="s">
        <v>20</v>
      </c>
      <c r="D53" s="9">
        <v>512</v>
      </c>
      <c r="E53" s="9">
        <v>52</v>
      </c>
    </row>
    <row r="54" spans="1:5" ht="15.75" customHeight="1" x14ac:dyDescent="0.3">
      <c r="A54" s="7">
        <v>45314</v>
      </c>
      <c r="B54" s="8" t="s">
        <v>21</v>
      </c>
      <c r="C54" s="8" t="s">
        <v>22</v>
      </c>
      <c r="D54" s="9">
        <v>762</v>
      </c>
      <c r="E54" s="9">
        <v>53</v>
      </c>
    </row>
    <row r="55" spans="1:5" ht="15.75" customHeight="1" x14ac:dyDescent="0.3">
      <c r="A55" s="7">
        <v>45315</v>
      </c>
      <c r="B55" s="8" t="s">
        <v>23</v>
      </c>
      <c r="C55" s="8" t="s">
        <v>24</v>
      </c>
      <c r="D55" s="9">
        <v>500</v>
      </c>
      <c r="E55" s="9">
        <v>54</v>
      </c>
    </row>
    <row r="56" spans="1:5" ht="15.75" customHeight="1" x14ac:dyDescent="0.3">
      <c r="A56" s="7">
        <v>45316</v>
      </c>
      <c r="B56" s="8" t="s">
        <v>19</v>
      </c>
      <c r="C56" s="8" t="s">
        <v>20</v>
      </c>
      <c r="D56" s="9">
        <v>437</v>
      </c>
      <c r="E56" s="9">
        <v>55</v>
      </c>
    </row>
    <row r="57" spans="1:5" ht="15.75" customHeight="1" x14ac:dyDescent="0.3">
      <c r="A57" s="7">
        <v>45317</v>
      </c>
      <c r="B57" s="8" t="s">
        <v>21</v>
      </c>
      <c r="C57" s="8" t="s">
        <v>22</v>
      </c>
      <c r="D57" s="9">
        <v>562</v>
      </c>
      <c r="E57" s="9">
        <v>56</v>
      </c>
    </row>
    <row r="58" spans="1:5" ht="15.75" customHeight="1" x14ac:dyDescent="0.3">
      <c r="A58" s="7">
        <v>45318</v>
      </c>
      <c r="B58" s="8" t="s">
        <v>23</v>
      </c>
      <c r="C58" s="8" t="s">
        <v>24</v>
      </c>
      <c r="D58" s="9">
        <v>1100</v>
      </c>
      <c r="E58" s="9">
        <v>57</v>
      </c>
    </row>
    <row r="59" spans="1:5" ht="15.75" customHeight="1" x14ac:dyDescent="0.3">
      <c r="A59" s="7">
        <v>45319</v>
      </c>
      <c r="B59" s="8" t="s">
        <v>19</v>
      </c>
      <c r="C59" s="8" t="s">
        <v>20</v>
      </c>
      <c r="D59" s="9">
        <v>112</v>
      </c>
      <c r="E59" s="9">
        <v>58</v>
      </c>
    </row>
    <row r="60" spans="1:5" ht="15.75" customHeight="1" x14ac:dyDescent="0.3">
      <c r="A60" s="7">
        <v>45320</v>
      </c>
      <c r="B60" s="8" t="s">
        <v>21</v>
      </c>
      <c r="C60" s="8" t="s">
        <v>22</v>
      </c>
      <c r="D60" s="9">
        <v>962</v>
      </c>
      <c r="E60" s="9">
        <v>59</v>
      </c>
    </row>
    <row r="61" spans="1:5" ht="15.75" customHeight="1" x14ac:dyDescent="0.3">
      <c r="A61" s="7">
        <v>45321</v>
      </c>
      <c r="B61" s="8" t="s">
        <v>23</v>
      </c>
      <c r="C61" s="8" t="s">
        <v>24</v>
      </c>
      <c r="D61" s="9">
        <v>1037</v>
      </c>
      <c r="E61" s="9">
        <v>60</v>
      </c>
    </row>
    <row r="62" spans="1:5" ht="15.75" customHeight="1" x14ac:dyDescent="0.3">
      <c r="A62" s="7">
        <v>45292</v>
      </c>
      <c r="B62" s="8" t="s">
        <v>19</v>
      </c>
      <c r="C62" s="8" t="s">
        <v>20</v>
      </c>
      <c r="D62" s="9">
        <v>662</v>
      </c>
      <c r="E62" s="9">
        <v>61</v>
      </c>
    </row>
    <row r="63" spans="1:5" ht="15.75" customHeight="1" x14ac:dyDescent="0.3">
      <c r="A63" s="7">
        <v>45293</v>
      </c>
      <c r="B63" s="8" t="s">
        <v>21</v>
      </c>
      <c r="C63" s="8" t="s">
        <v>22</v>
      </c>
      <c r="D63" s="9">
        <v>62</v>
      </c>
      <c r="E63" s="9">
        <v>62</v>
      </c>
    </row>
    <row r="64" spans="1:5" ht="15.75" customHeight="1" x14ac:dyDescent="0.3">
      <c r="A64" s="7">
        <v>45294</v>
      </c>
      <c r="B64" s="8" t="s">
        <v>23</v>
      </c>
      <c r="C64" s="8" t="s">
        <v>24</v>
      </c>
      <c r="D64" s="9">
        <v>1050</v>
      </c>
      <c r="E64" s="9">
        <v>63</v>
      </c>
    </row>
    <row r="65" spans="1:5" ht="15.75" customHeight="1" x14ac:dyDescent="0.3">
      <c r="A65" s="7">
        <v>45295</v>
      </c>
      <c r="B65" s="8" t="s">
        <v>19</v>
      </c>
      <c r="C65" s="8" t="s">
        <v>20</v>
      </c>
      <c r="D65" s="9">
        <v>712</v>
      </c>
      <c r="E65" s="9">
        <v>64</v>
      </c>
    </row>
    <row r="66" spans="1:5" ht="15.75" customHeight="1" x14ac:dyDescent="0.3">
      <c r="A66" s="7">
        <v>45296</v>
      </c>
      <c r="B66" s="8" t="s">
        <v>21</v>
      </c>
      <c r="C66" s="8" t="s">
        <v>22</v>
      </c>
      <c r="D66" s="9">
        <v>487</v>
      </c>
      <c r="E66" s="9">
        <v>65</v>
      </c>
    </row>
    <row r="67" spans="1:5" ht="15.75" customHeight="1" x14ac:dyDescent="0.3">
      <c r="A67" s="7">
        <v>45297</v>
      </c>
      <c r="B67" s="8" t="s">
        <v>23</v>
      </c>
      <c r="C67" s="8" t="s">
        <v>24</v>
      </c>
      <c r="D67" s="9">
        <v>587</v>
      </c>
      <c r="E67" s="9">
        <v>66</v>
      </c>
    </row>
    <row r="68" spans="1:5" ht="15.75" customHeight="1" x14ac:dyDescent="0.3">
      <c r="A68" s="7">
        <v>45298</v>
      </c>
      <c r="B68" s="8" t="s">
        <v>19</v>
      </c>
      <c r="C68" s="8" t="s">
        <v>20</v>
      </c>
      <c r="D68" s="9">
        <v>150</v>
      </c>
      <c r="E68" s="9">
        <v>67</v>
      </c>
    </row>
    <row r="69" spans="1:5" ht="15.75" customHeight="1" x14ac:dyDescent="0.3">
      <c r="A69" s="7">
        <v>45299</v>
      </c>
      <c r="B69" s="8" t="s">
        <v>21</v>
      </c>
      <c r="C69" s="8" t="s">
        <v>22</v>
      </c>
      <c r="D69" s="9">
        <v>750</v>
      </c>
      <c r="E69" s="9">
        <v>68</v>
      </c>
    </row>
    <row r="70" spans="1:5" ht="15.75" customHeight="1" x14ac:dyDescent="0.3">
      <c r="A70" s="7">
        <v>45300</v>
      </c>
      <c r="B70" s="8" t="s">
        <v>23</v>
      </c>
      <c r="C70" s="8" t="s">
        <v>24</v>
      </c>
      <c r="D70" s="9">
        <v>862</v>
      </c>
      <c r="E70" s="9">
        <v>69</v>
      </c>
    </row>
    <row r="71" spans="1:5" ht="15.75" customHeight="1" x14ac:dyDescent="0.3">
      <c r="A71" s="7">
        <v>45301</v>
      </c>
      <c r="B71" s="8" t="s">
        <v>19</v>
      </c>
      <c r="C71" s="8" t="s">
        <v>20</v>
      </c>
      <c r="D71" s="9">
        <v>387</v>
      </c>
      <c r="E71" s="9">
        <v>70</v>
      </c>
    </row>
    <row r="72" spans="1:5" ht="15.75" customHeight="1" x14ac:dyDescent="0.3">
      <c r="A72" s="7">
        <v>45302</v>
      </c>
      <c r="B72" s="8" t="s">
        <v>21</v>
      </c>
      <c r="C72" s="8" t="s">
        <v>22</v>
      </c>
      <c r="D72" s="9">
        <v>875</v>
      </c>
      <c r="E72" s="9">
        <v>71</v>
      </c>
    </row>
    <row r="73" spans="1:5" ht="15.75" customHeight="1" x14ac:dyDescent="0.3">
      <c r="A73" s="7">
        <v>45303</v>
      </c>
      <c r="B73" s="8" t="s">
        <v>23</v>
      </c>
      <c r="C73" s="8" t="s">
        <v>24</v>
      </c>
      <c r="D73" s="9">
        <v>625</v>
      </c>
      <c r="E73" s="9">
        <v>72</v>
      </c>
    </row>
    <row r="74" spans="1:5" ht="15.75" customHeight="1" x14ac:dyDescent="0.3">
      <c r="A74" s="7">
        <v>45304</v>
      </c>
      <c r="B74" s="8" t="s">
        <v>19</v>
      </c>
      <c r="C74" s="8" t="s">
        <v>20</v>
      </c>
      <c r="D74" s="9">
        <v>362</v>
      </c>
      <c r="E74" s="9">
        <v>73</v>
      </c>
    </row>
    <row r="75" spans="1:5" ht="15.75" customHeight="1" x14ac:dyDescent="0.3">
      <c r="A75" s="7">
        <v>45305</v>
      </c>
      <c r="B75" s="8" t="s">
        <v>21</v>
      </c>
      <c r="C75" s="8" t="s">
        <v>22</v>
      </c>
      <c r="D75" s="9">
        <v>925</v>
      </c>
      <c r="E75" s="9">
        <v>74</v>
      </c>
    </row>
    <row r="76" spans="1:5" ht="15.75" customHeight="1" x14ac:dyDescent="0.3">
      <c r="A76" s="7">
        <v>45306</v>
      </c>
      <c r="B76" s="8" t="s">
        <v>23</v>
      </c>
      <c r="C76" s="8" t="s">
        <v>24</v>
      </c>
      <c r="D76" s="9">
        <v>1087</v>
      </c>
      <c r="E76" s="9">
        <v>75</v>
      </c>
    </row>
    <row r="77" spans="1:5" ht="15.75" customHeight="1" x14ac:dyDescent="0.3">
      <c r="A77" s="7">
        <v>45307</v>
      </c>
      <c r="B77" s="8" t="s">
        <v>19</v>
      </c>
      <c r="C77" s="8" t="s">
        <v>20</v>
      </c>
      <c r="D77" s="9">
        <v>687</v>
      </c>
      <c r="E77" s="9">
        <v>76</v>
      </c>
    </row>
    <row r="78" spans="1:5" ht="15.75" customHeight="1" x14ac:dyDescent="0.3">
      <c r="A78" s="7">
        <v>45308</v>
      </c>
      <c r="B78" s="8" t="s">
        <v>21</v>
      </c>
      <c r="C78" s="8" t="s">
        <v>22</v>
      </c>
      <c r="D78" s="9">
        <v>1025</v>
      </c>
      <c r="E78" s="9">
        <v>77</v>
      </c>
    </row>
    <row r="79" spans="1:5" ht="15.75" customHeight="1" x14ac:dyDescent="0.3">
      <c r="A79" s="7">
        <v>45309</v>
      </c>
      <c r="B79" s="8" t="s">
        <v>23</v>
      </c>
      <c r="C79" s="8" t="s">
        <v>24</v>
      </c>
      <c r="D79" s="9">
        <v>775</v>
      </c>
      <c r="E79" s="9">
        <v>78</v>
      </c>
    </row>
    <row r="80" spans="1:5" ht="15.75" customHeight="1" x14ac:dyDescent="0.3">
      <c r="A80" s="7">
        <v>45310</v>
      </c>
      <c r="B80" s="8" t="s">
        <v>19</v>
      </c>
      <c r="C80" s="8" t="s">
        <v>20</v>
      </c>
      <c r="D80" s="9">
        <v>675</v>
      </c>
      <c r="E80" s="9">
        <v>79</v>
      </c>
    </row>
    <row r="81" spans="1:5" ht="15.75" customHeight="1" x14ac:dyDescent="0.3">
      <c r="A81" s="7">
        <v>45311</v>
      </c>
      <c r="B81" s="8" t="s">
        <v>21</v>
      </c>
      <c r="C81" s="8" t="s">
        <v>22</v>
      </c>
      <c r="D81" s="9">
        <v>837</v>
      </c>
      <c r="E81" s="9">
        <v>80</v>
      </c>
    </row>
    <row r="82" spans="1:5" ht="15.75" customHeight="1" x14ac:dyDescent="0.3">
      <c r="A82" s="7">
        <v>45312</v>
      </c>
      <c r="B82" s="8" t="s">
        <v>23</v>
      </c>
      <c r="C82" s="8" t="s">
        <v>24</v>
      </c>
      <c r="D82" s="9">
        <v>212</v>
      </c>
      <c r="E82" s="9">
        <v>81</v>
      </c>
    </row>
    <row r="83" spans="1:5" ht="15.75" customHeight="1" x14ac:dyDescent="0.3">
      <c r="A83" s="7">
        <v>45313</v>
      </c>
      <c r="B83" s="8" t="s">
        <v>19</v>
      </c>
      <c r="C83" s="8" t="s">
        <v>20</v>
      </c>
      <c r="D83" s="9">
        <v>1112</v>
      </c>
      <c r="E83" s="9">
        <v>82</v>
      </c>
    </row>
    <row r="84" spans="1:5" ht="15.75" customHeight="1" x14ac:dyDescent="0.3">
      <c r="A84" s="7">
        <v>45314</v>
      </c>
      <c r="B84" s="8" t="s">
        <v>21</v>
      </c>
      <c r="C84" s="8" t="s">
        <v>22</v>
      </c>
      <c r="D84" s="9">
        <v>575</v>
      </c>
      <c r="E84" s="9">
        <v>83</v>
      </c>
    </row>
    <row r="85" spans="1:5" ht="15.75" customHeight="1" x14ac:dyDescent="0.3">
      <c r="A85" s="7">
        <v>45315</v>
      </c>
      <c r="B85" s="8" t="s">
        <v>23</v>
      </c>
      <c r="C85" s="8" t="s">
        <v>24</v>
      </c>
      <c r="D85" s="9">
        <v>200</v>
      </c>
      <c r="E85" s="9">
        <v>84</v>
      </c>
    </row>
    <row r="86" spans="1:5" ht="15.75" customHeight="1" x14ac:dyDescent="0.3">
      <c r="A86" s="7">
        <v>45316</v>
      </c>
      <c r="B86" s="8" t="s">
        <v>19</v>
      </c>
      <c r="C86" s="8" t="s">
        <v>20</v>
      </c>
      <c r="D86" s="9">
        <v>262</v>
      </c>
      <c r="E86" s="9">
        <v>85</v>
      </c>
    </row>
    <row r="87" spans="1:5" ht="15.75" customHeight="1" x14ac:dyDescent="0.3">
      <c r="A87" s="7">
        <v>45317</v>
      </c>
      <c r="B87" s="8" t="s">
        <v>21</v>
      </c>
      <c r="C87" s="8" t="s">
        <v>22</v>
      </c>
      <c r="D87" s="9">
        <v>987</v>
      </c>
      <c r="E87" s="9">
        <v>86</v>
      </c>
    </row>
    <row r="88" spans="1:5" ht="15.75" customHeight="1" x14ac:dyDescent="0.3">
      <c r="A88" s="7">
        <v>45318</v>
      </c>
      <c r="B88" s="8" t="s">
        <v>23</v>
      </c>
      <c r="C88" s="8" t="s">
        <v>24</v>
      </c>
      <c r="D88" s="9">
        <v>650</v>
      </c>
      <c r="E88" s="9">
        <v>87</v>
      </c>
    </row>
    <row r="89" spans="1:5" ht="15.75" customHeight="1" x14ac:dyDescent="0.3">
      <c r="A89" s="7">
        <v>45319</v>
      </c>
      <c r="B89" s="8" t="s">
        <v>19</v>
      </c>
      <c r="C89" s="8" t="s">
        <v>20</v>
      </c>
      <c r="D89" s="9">
        <v>1075</v>
      </c>
      <c r="E89" s="9">
        <v>88</v>
      </c>
    </row>
    <row r="90" spans="1:5" ht="15.75" customHeight="1" x14ac:dyDescent="0.3">
      <c r="A90" s="7">
        <v>45320</v>
      </c>
      <c r="B90" s="8" t="s">
        <v>21</v>
      </c>
      <c r="C90" s="8" t="s">
        <v>22</v>
      </c>
      <c r="D90" s="9">
        <v>50</v>
      </c>
      <c r="E90" s="9">
        <v>89</v>
      </c>
    </row>
    <row r="91" spans="1:5" ht="15.75" customHeight="1" x14ac:dyDescent="0.3">
      <c r="A91" s="7">
        <v>45321</v>
      </c>
      <c r="B91" s="8" t="s">
        <v>23</v>
      </c>
      <c r="C91" s="8" t="s">
        <v>24</v>
      </c>
      <c r="D91" s="9">
        <v>412</v>
      </c>
      <c r="E91" s="9">
        <v>90</v>
      </c>
    </row>
    <row r="92" spans="1:5" ht="15.75" customHeight="1" x14ac:dyDescent="0.3"/>
    <row r="93" spans="1:5" ht="15.75" customHeight="1" x14ac:dyDescent="0.3"/>
    <row r="94" spans="1:5" ht="15.75" customHeight="1" x14ac:dyDescent="0.3"/>
    <row r="95" spans="1:5" ht="15.75" customHeight="1" x14ac:dyDescent="0.3"/>
    <row r="96" spans="1:5"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21"/>
  <sheetViews>
    <sheetView workbookViewId="0">
      <selection sqref="A1:XFD1048576"/>
    </sheetView>
  </sheetViews>
  <sheetFormatPr defaultColWidth="14.44140625" defaultRowHeight="15" customHeight="1" x14ac:dyDescent="0.3"/>
  <cols>
    <col min="1" max="1" width="12.5546875" customWidth="1"/>
    <col min="2" max="2" width="11.6640625" customWidth="1"/>
    <col min="3" max="3" width="18.109375" customWidth="1"/>
    <col min="4" max="4" width="18.6640625" customWidth="1"/>
    <col min="5" max="5" width="17" customWidth="1"/>
    <col min="6" max="6" width="14.33203125" customWidth="1"/>
    <col min="7" max="7" width="16.33203125" customWidth="1"/>
    <col min="8" max="8" width="16.109375" customWidth="1"/>
    <col min="9" max="9" width="17.5546875" customWidth="1"/>
  </cols>
  <sheetData>
    <row r="1" spans="1:26" x14ac:dyDescent="0.3">
      <c r="A1" s="11" t="s">
        <v>26</v>
      </c>
      <c r="B1" s="11" t="s">
        <v>27</v>
      </c>
      <c r="C1" s="11" t="s">
        <v>28</v>
      </c>
      <c r="D1" s="11" t="s">
        <v>29</v>
      </c>
      <c r="E1" s="11" t="s">
        <v>30</v>
      </c>
      <c r="F1" s="11" t="s">
        <v>31</v>
      </c>
      <c r="G1" s="11" t="s">
        <v>32</v>
      </c>
      <c r="H1" s="11" t="s">
        <v>33</v>
      </c>
      <c r="I1" s="11" t="s">
        <v>34</v>
      </c>
      <c r="J1" s="11"/>
      <c r="K1" s="11"/>
      <c r="L1" s="11"/>
      <c r="M1" s="11"/>
      <c r="N1" s="11"/>
      <c r="O1" s="11"/>
      <c r="P1" s="11"/>
      <c r="Q1" s="11"/>
      <c r="R1" s="11"/>
      <c r="S1" s="11"/>
      <c r="T1" s="11"/>
      <c r="U1" s="11"/>
      <c r="V1" s="11"/>
      <c r="W1" s="11"/>
      <c r="X1" s="11"/>
      <c r="Y1" s="11"/>
      <c r="Z1" s="11"/>
    </row>
    <row r="2" spans="1:26" x14ac:dyDescent="0.3">
      <c r="A2" s="10" t="s">
        <v>35</v>
      </c>
      <c r="B2" s="10" t="s">
        <v>36</v>
      </c>
      <c r="C2" s="10">
        <v>3.75</v>
      </c>
      <c r="D2" s="10">
        <v>2</v>
      </c>
      <c r="E2" s="10">
        <v>4.66</v>
      </c>
      <c r="F2" s="10">
        <v>61</v>
      </c>
      <c r="G2" s="10">
        <v>2</v>
      </c>
      <c r="H2" s="10">
        <v>0.89800000000000002</v>
      </c>
      <c r="I2" s="10">
        <v>96.1</v>
      </c>
    </row>
    <row r="3" spans="1:26" x14ac:dyDescent="0.3">
      <c r="A3" s="10" t="s">
        <v>37</v>
      </c>
      <c r="B3" s="10" t="s">
        <v>17</v>
      </c>
      <c r="C3" s="10">
        <v>3.43</v>
      </c>
      <c r="D3" s="10">
        <v>7</v>
      </c>
      <c r="E3" s="10">
        <v>3.8</v>
      </c>
      <c r="F3" s="10">
        <v>92</v>
      </c>
      <c r="G3" s="10">
        <v>12</v>
      </c>
      <c r="H3" s="10">
        <v>0.99299999999999999</v>
      </c>
      <c r="I3" s="10">
        <v>92.7</v>
      </c>
    </row>
    <row r="4" spans="1:26" x14ac:dyDescent="0.3">
      <c r="A4" s="10" t="s">
        <v>38</v>
      </c>
      <c r="B4" s="10" t="s">
        <v>39</v>
      </c>
      <c r="C4" s="10">
        <v>3.82</v>
      </c>
      <c r="D4" s="10">
        <v>9</v>
      </c>
      <c r="E4" s="10">
        <v>4.38</v>
      </c>
      <c r="F4" s="10">
        <v>25</v>
      </c>
      <c r="G4" s="10">
        <v>12</v>
      </c>
      <c r="H4" s="10">
        <v>0.97699999999999998</v>
      </c>
      <c r="I4" s="10">
        <v>77.8</v>
      </c>
    </row>
    <row r="5" spans="1:26" x14ac:dyDescent="0.3">
      <c r="A5" s="10" t="s">
        <v>40</v>
      </c>
      <c r="B5" s="10" t="s">
        <v>41</v>
      </c>
      <c r="C5" s="10">
        <v>4.26</v>
      </c>
      <c r="D5" s="10">
        <v>6</v>
      </c>
      <c r="E5" s="10">
        <v>3.35</v>
      </c>
      <c r="F5" s="10">
        <v>78</v>
      </c>
      <c r="G5" s="10">
        <v>5</v>
      </c>
      <c r="H5" s="10">
        <v>0.94599999999999995</v>
      </c>
      <c r="I5" s="10">
        <v>100</v>
      </c>
    </row>
    <row r="6" spans="1:26" x14ac:dyDescent="0.3">
      <c r="A6" s="10" t="s">
        <v>42</v>
      </c>
      <c r="B6" s="10" t="s">
        <v>17</v>
      </c>
      <c r="C6" s="10">
        <v>3.38</v>
      </c>
      <c r="D6" s="10">
        <v>5</v>
      </c>
      <c r="E6" s="10">
        <v>3.22</v>
      </c>
      <c r="F6" s="10">
        <v>21</v>
      </c>
      <c r="G6" s="10">
        <v>9</v>
      </c>
      <c r="H6" s="10">
        <v>0.95599999999999996</v>
      </c>
      <c r="I6" s="10">
        <v>67.3</v>
      </c>
    </row>
    <row r="7" spans="1:26" x14ac:dyDescent="0.3">
      <c r="A7" s="10" t="s">
        <v>43</v>
      </c>
      <c r="B7" s="10" t="s">
        <v>36</v>
      </c>
      <c r="C7" s="10">
        <v>3.38</v>
      </c>
      <c r="D7" s="10">
        <v>3</v>
      </c>
      <c r="E7" s="10">
        <v>3.55</v>
      </c>
      <c r="F7" s="10">
        <v>34</v>
      </c>
      <c r="G7" s="10">
        <v>4</v>
      </c>
      <c r="H7" s="10">
        <v>0.88500000000000001</v>
      </c>
      <c r="I7" s="10">
        <v>74.7</v>
      </c>
    </row>
    <row r="8" spans="1:26" x14ac:dyDescent="0.3">
      <c r="A8" s="10" t="s">
        <v>44</v>
      </c>
      <c r="B8" s="10" t="s">
        <v>17</v>
      </c>
      <c r="C8" s="10">
        <v>4.29</v>
      </c>
      <c r="D8" s="10">
        <v>7</v>
      </c>
      <c r="E8" s="10">
        <v>3.38</v>
      </c>
      <c r="F8" s="10">
        <v>61</v>
      </c>
      <c r="G8" s="10">
        <v>11</v>
      </c>
      <c r="H8" s="10">
        <v>0.93500000000000005</v>
      </c>
      <c r="I8" s="10">
        <v>86.7</v>
      </c>
    </row>
    <row r="9" spans="1:26" x14ac:dyDescent="0.3">
      <c r="A9" s="10" t="s">
        <v>45</v>
      </c>
      <c r="B9" s="10" t="s">
        <v>36</v>
      </c>
      <c r="C9" s="10">
        <v>3.88</v>
      </c>
      <c r="D9" s="10">
        <v>7</v>
      </c>
      <c r="E9" s="10">
        <v>3.29</v>
      </c>
      <c r="F9" s="10">
        <v>94</v>
      </c>
      <c r="G9" s="10">
        <v>6</v>
      </c>
      <c r="H9" s="10">
        <v>0.99</v>
      </c>
      <c r="I9" s="10">
        <v>85.9</v>
      </c>
    </row>
    <row r="10" spans="1:26" x14ac:dyDescent="0.3">
      <c r="A10" s="10" t="s">
        <v>46</v>
      </c>
      <c r="B10" s="10" t="s">
        <v>36</v>
      </c>
      <c r="C10" s="10">
        <v>3.27</v>
      </c>
      <c r="D10" s="10">
        <v>2</v>
      </c>
      <c r="E10" s="10">
        <v>4.2699999999999996</v>
      </c>
      <c r="F10" s="10">
        <v>62</v>
      </c>
      <c r="G10" s="10">
        <v>1</v>
      </c>
      <c r="H10" s="10">
        <v>0.97899999999999998</v>
      </c>
      <c r="I10" s="10">
        <v>89.9</v>
      </c>
    </row>
    <row r="11" spans="1:26" x14ac:dyDescent="0.3">
      <c r="A11" s="10" t="s">
        <v>47</v>
      </c>
      <c r="B11" s="10" t="s">
        <v>39</v>
      </c>
      <c r="C11" s="10">
        <v>3.77</v>
      </c>
      <c r="D11" s="10">
        <v>10</v>
      </c>
      <c r="E11" s="10">
        <v>5</v>
      </c>
      <c r="F11" s="10">
        <v>32</v>
      </c>
      <c r="G11" s="10">
        <v>9</v>
      </c>
      <c r="H11" s="10">
        <v>0.96</v>
      </c>
      <c r="I11" s="10">
        <v>100</v>
      </c>
    </row>
    <row r="12" spans="1:26" x14ac:dyDescent="0.3">
      <c r="A12" s="10" t="s">
        <v>48</v>
      </c>
      <c r="B12" s="10" t="s">
        <v>41</v>
      </c>
      <c r="C12" s="10">
        <v>3.27</v>
      </c>
      <c r="D12" s="10">
        <v>7</v>
      </c>
      <c r="E12" s="10">
        <v>3.6</v>
      </c>
      <c r="F12" s="10">
        <v>25</v>
      </c>
      <c r="G12" s="10">
        <v>1</v>
      </c>
      <c r="H12" s="10">
        <v>0.95</v>
      </c>
      <c r="I12" s="10">
        <v>83.8</v>
      </c>
    </row>
    <row r="13" spans="1:26" x14ac:dyDescent="0.3">
      <c r="A13" s="10" t="s">
        <v>49</v>
      </c>
      <c r="B13" s="10" t="s">
        <v>41</v>
      </c>
      <c r="C13" s="10">
        <v>3.27</v>
      </c>
      <c r="D13" s="10">
        <v>4</v>
      </c>
      <c r="E13" s="10">
        <v>2.98</v>
      </c>
      <c r="F13" s="10">
        <v>66</v>
      </c>
      <c r="G13" s="10">
        <v>5</v>
      </c>
      <c r="H13" s="10">
        <v>0.97399999999999998</v>
      </c>
      <c r="I13" s="10">
        <v>86.1</v>
      </c>
    </row>
    <row r="14" spans="1:26" x14ac:dyDescent="0.3">
      <c r="A14" s="10" t="s">
        <v>50</v>
      </c>
      <c r="B14" s="10" t="s">
        <v>17</v>
      </c>
      <c r="C14" s="10">
        <v>3.62</v>
      </c>
      <c r="D14" s="10">
        <v>5</v>
      </c>
      <c r="E14" s="10">
        <v>4.3899999999999997</v>
      </c>
      <c r="F14" s="10">
        <v>48</v>
      </c>
      <c r="G14" s="10">
        <v>4</v>
      </c>
      <c r="H14" s="10">
        <v>0.94199999999999995</v>
      </c>
      <c r="I14" s="10">
        <v>79.099999999999994</v>
      </c>
    </row>
    <row r="15" spans="1:26" x14ac:dyDescent="0.3">
      <c r="A15" s="10" t="s">
        <v>51</v>
      </c>
      <c r="B15" s="10" t="s">
        <v>17</v>
      </c>
      <c r="C15" s="10">
        <v>2.54</v>
      </c>
      <c r="D15" s="10">
        <v>5</v>
      </c>
      <c r="E15" s="10">
        <v>3.14</v>
      </c>
      <c r="F15" s="10">
        <v>62</v>
      </c>
      <c r="G15" s="10">
        <v>13</v>
      </c>
      <c r="H15" s="10">
        <v>0.9</v>
      </c>
      <c r="I15" s="10">
        <v>90.9</v>
      </c>
    </row>
    <row r="16" spans="1:26" x14ac:dyDescent="0.3">
      <c r="A16" s="10" t="s">
        <v>52</v>
      </c>
      <c r="B16" s="10" t="s">
        <v>53</v>
      </c>
      <c r="C16" s="10">
        <v>2.64</v>
      </c>
      <c r="D16" s="10">
        <v>4</v>
      </c>
      <c r="E16" s="10">
        <v>3.29</v>
      </c>
      <c r="F16" s="10">
        <v>51</v>
      </c>
      <c r="G16" s="10">
        <v>12</v>
      </c>
      <c r="H16" s="10">
        <v>0.95</v>
      </c>
      <c r="I16" s="10">
        <v>81.8</v>
      </c>
    </row>
    <row r="17" spans="1:9" x14ac:dyDescent="0.3">
      <c r="A17" s="10" t="s">
        <v>54</v>
      </c>
      <c r="B17" s="10" t="s">
        <v>17</v>
      </c>
      <c r="C17" s="10">
        <v>3.22</v>
      </c>
      <c r="D17" s="10">
        <v>11</v>
      </c>
      <c r="E17" s="10">
        <v>4.3</v>
      </c>
      <c r="F17" s="10">
        <v>67</v>
      </c>
      <c r="G17" s="10">
        <v>13</v>
      </c>
      <c r="H17" s="10">
        <v>0.96199999999999997</v>
      </c>
      <c r="I17" s="10">
        <v>81.8</v>
      </c>
    </row>
    <row r="18" spans="1:9" x14ac:dyDescent="0.3">
      <c r="A18" s="10" t="s">
        <v>55</v>
      </c>
      <c r="B18" s="10" t="s">
        <v>41</v>
      </c>
      <c r="C18" s="10">
        <v>2.99</v>
      </c>
      <c r="D18" s="10">
        <v>4</v>
      </c>
      <c r="E18" s="10">
        <v>3.9</v>
      </c>
      <c r="F18" s="10">
        <v>48</v>
      </c>
      <c r="G18" s="10">
        <v>13</v>
      </c>
      <c r="H18" s="10">
        <v>0.98399999999999999</v>
      </c>
      <c r="I18" s="10">
        <v>90.4</v>
      </c>
    </row>
    <row r="19" spans="1:9" x14ac:dyDescent="0.3">
      <c r="A19" s="10" t="s">
        <v>56</v>
      </c>
      <c r="B19" s="10" t="s">
        <v>36</v>
      </c>
      <c r="C19" s="10">
        <v>3.66</v>
      </c>
      <c r="D19" s="10">
        <v>4</v>
      </c>
      <c r="E19" s="10">
        <v>3.59</v>
      </c>
      <c r="F19" s="10">
        <v>23</v>
      </c>
      <c r="G19" s="10">
        <v>14</v>
      </c>
      <c r="H19" s="10">
        <v>0.90700000000000003</v>
      </c>
      <c r="I19" s="10">
        <v>95.3</v>
      </c>
    </row>
    <row r="20" spans="1:9" x14ac:dyDescent="0.3">
      <c r="A20" s="10" t="s">
        <v>57</v>
      </c>
      <c r="B20" s="10" t="s">
        <v>41</v>
      </c>
      <c r="C20" s="10">
        <v>3.05</v>
      </c>
      <c r="D20" s="10">
        <v>5</v>
      </c>
      <c r="E20" s="10">
        <v>4.04</v>
      </c>
      <c r="F20" s="10">
        <v>14</v>
      </c>
      <c r="G20" s="10">
        <v>3</v>
      </c>
      <c r="H20" s="10">
        <v>0.94599999999999995</v>
      </c>
      <c r="I20" s="10">
        <v>62.9</v>
      </c>
    </row>
    <row r="21" spans="1:9" x14ac:dyDescent="0.3">
      <c r="A21" s="10" t="s">
        <v>58</v>
      </c>
      <c r="B21" s="10" t="s">
        <v>53</v>
      </c>
      <c r="C21" s="10">
        <v>2.79</v>
      </c>
      <c r="D21" s="10">
        <v>8</v>
      </c>
      <c r="E21" s="10">
        <v>3.75</v>
      </c>
      <c r="F21" s="10">
        <v>44</v>
      </c>
      <c r="G21" s="10">
        <v>13</v>
      </c>
      <c r="H21" s="10">
        <v>0.94799999999999995</v>
      </c>
      <c r="I21" s="10">
        <v>88.6</v>
      </c>
    </row>
    <row r="22" spans="1:9" x14ac:dyDescent="0.3">
      <c r="A22" s="10" t="s">
        <v>59</v>
      </c>
      <c r="B22" s="10" t="s">
        <v>36</v>
      </c>
      <c r="C22" s="10">
        <v>4.2300000000000004</v>
      </c>
      <c r="D22" s="10">
        <v>5</v>
      </c>
      <c r="E22" s="10">
        <v>5</v>
      </c>
      <c r="F22" s="10">
        <v>96</v>
      </c>
      <c r="G22" s="10">
        <v>6</v>
      </c>
      <c r="H22" s="10">
        <v>0.91700000000000004</v>
      </c>
      <c r="I22" s="10">
        <v>82.3</v>
      </c>
    </row>
    <row r="23" spans="1:9" x14ac:dyDescent="0.3">
      <c r="A23" s="10" t="s">
        <v>60</v>
      </c>
      <c r="B23" s="10" t="s">
        <v>53</v>
      </c>
      <c r="C23" s="10">
        <v>3.39</v>
      </c>
      <c r="D23" s="10">
        <v>10</v>
      </c>
      <c r="E23" s="10">
        <v>3.59</v>
      </c>
      <c r="F23" s="10">
        <v>84</v>
      </c>
      <c r="G23" s="10">
        <v>2</v>
      </c>
      <c r="H23" s="10">
        <v>0.96499999999999997</v>
      </c>
      <c r="I23" s="10">
        <v>94.5</v>
      </c>
    </row>
    <row r="24" spans="1:9" x14ac:dyDescent="0.3">
      <c r="A24" s="10" t="s">
        <v>61</v>
      </c>
      <c r="B24" s="10" t="s">
        <v>39</v>
      </c>
      <c r="C24" s="10">
        <v>3.53</v>
      </c>
      <c r="D24" s="10">
        <v>2</v>
      </c>
      <c r="E24" s="10">
        <v>3.45</v>
      </c>
      <c r="F24" s="10">
        <v>27</v>
      </c>
      <c r="G24" s="10">
        <v>3</v>
      </c>
      <c r="H24" s="10">
        <v>0.97199999999999998</v>
      </c>
      <c r="I24" s="10">
        <v>82.5</v>
      </c>
    </row>
    <row r="25" spans="1:9" x14ac:dyDescent="0.3">
      <c r="A25" s="10" t="s">
        <v>62</v>
      </c>
      <c r="B25" s="10" t="s">
        <v>36</v>
      </c>
      <c r="C25" s="10">
        <v>2.79</v>
      </c>
      <c r="D25" s="10">
        <v>9</v>
      </c>
      <c r="E25" s="10">
        <v>3.73</v>
      </c>
      <c r="F25" s="10">
        <v>85</v>
      </c>
      <c r="G25" s="10">
        <v>5</v>
      </c>
      <c r="H25" s="10">
        <v>0.94099999999999995</v>
      </c>
      <c r="I25" s="10">
        <v>98</v>
      </c>
    </row>
    <row r="26" spans="1:9" x14ac:dyDescent="0.3">
      <c r="A26" s="10" t="s">
        <v>63</v>
      </c>
      <c r="B26" s="10" t="s">
        <v>36</v>
      </c>
      <c r="C26" s="10">
        <v>3.23</v>
      </c>
      <c r="D26" s="10">
        <v>8</v>
      </c>
      <c r="E26" s="10">
        <v>3.75</v>
      </c>
      <c r="F26" s="10">
        <v>18</v>
      </c>
      <c r="G26" s="10">
        <v>9</v>
      </c>
      <c r="H26" s="10">
        <v>1</v>
      </c>
      <c r="I26" s="10">
        <v>78.2</v>
      </c>
    </row>
    <row r="27" spans="1:9" x14ac:dyDescent="0.3">
      <c r="A27" s="10" t="s">
        <v>64</v>
      </c>
      <c r="B27" s="10" t="s">
        <v>53</v>
      </c>
      <c r="C27" s="10">
        <v>3.56</v>
      </c>
      <c r="D27" s="10">
        <v>3</v>
      </c>
      <c r="E27" s="10">
        <v>4.3600000000000003</v>
      </c>
      <c r="F27" s="10">
        <v>83</v>
      </c>
      <c r="G27" s="10">
        <v>2</v>
      </c>
      <c r="H27" s="10">
        <v>0.94</v>
      </c>
      <c r="I27" s="10">
        <v>62.7</v>
      </c>
    </row>
    <row r="28" spans="1:9" x14ac:dyDescent="0.3">
      <c r="A28" s="10" t="s">
        <v>65</v>
      </c>
      <c r="B28" s="10" t="s">
        <v>53</v>
      </c>
      <c r="C28" s="10">
        <v>2.92</v>
      </c>
      <c r="D28" s="10">
        <v>9</v>
      </c>
      <c r="E28" s="10">
        <v>2.81</v>
      </c>
      <c r="F28" s="10">
        <v>67</v>
      </c>
      <c r="G28" s="10">
        <v>10</v>
      </c>
      <c r="H28" s="10">
        <v>0.93700000000000006</v>
      </c>
      <c r="I28" s="10">
        <v>95.5</v>
      </c>
    </row>
    <row r="29" spans="1:9" x14ac:dyDescent="0.3">
      <c r="A29" s="10" t="s">
        <v>66</v>
      </c>
      <c r="B29" s="10" t="s">
        <v>41</v>
      </c>
      <c r="C29" s="10">
        <v>3.69</v>
      </c>
      <c r="D29" s="10">
        <v>2</v>
      </c>
      <c r="E29" s="10">
        <v>4.26</v>
      </c>
      <c r="F29" s="10">
        <v>26</v>
      </c>
      <c r="G29" s="10">
        <v>8</v>
      </c>
      <c r="H29" s="10">
        <v>0.93600000000000005</v>
      </c>
      <c r="I29" s="10">
        <v>76.599999999999994</v>
      </c>
    </row>
    <row r="30" spans="1:9" x14ac:dyDescent="0.3">
      <c r="A30" s="10" t="s">
        <v>67</v>
      </c>
      <c r="B30" s="10" t="s">
        <v>41</v>
      </c>
      <c r="C30" s="10">
        <v>3.2</v>
      </c>
      <c r="D30" s="10">
        <v>10</v>
      </c>
      <c r="E30" s="10">
        <v>3.68</v>
      </c>
      <c r="F30" s="10">
        <v>16</v>
      </c>
      <c r="G30" s="10">
        <v>14</v>
      </c>
      <c r="H30" s="10">
        <v>0.92600000000000005</v>
      </c>
      <c r="I30" s="10">
        <v>69.2</v>
      </c>
    </row>
    <row r="31" spans="1:9" x14ac:dyDescent="0.3">
      <c r="A31" s="10" t="s">
        <v>68</v>
      </c>
      <c r="B31" s="10" t="s">
        <v>17</v>
      </c>
      <c r="C31" s="10">
        <v>3.35</v>
      </c>
      <c r="D31" s="10">
        <v>10</v>
      </c>
      <c r="E31" s="10">
        <v>4.47</v>
      </c>
      <c r="F31" s="10">
        <v>55</v>
      </c>
      <c r="G31" s="10">
        <v>2</v>
      </c>
      <c r="H31" s="10">
        <v>0.93300000000000005</v>
      </c>
      <c r="I31" s="10">
        <v>85.2</v>
      </c>
    </row>
    <row r="32" spans="1:9" x14ac:dyDescent="0.3">
      <c r="A32" s="10" t="s">
        <v>69</v>
      </c>
      <c r="B32" s="10" t="s">
        <v>53</v>
      </c>
      <c r="C32" s="10">
        <v>3.2</v>
      </c>
      <c r="D32" s="10">
        <v>3</v>
      </c>
      <c r="E32" s="10">
        <v>3.97</v>
      </c>
      <c r="F32" s="10">
        <v>22</v>
      </c>
      <c r="G32" s="10">
        <v>11</v>
      </c>
      <c r="H32" s="10">
        <v>0.90700000000000003</v>
      </c>
      <c r="I32" s="10">
        <v>82.6</v>
      </c>
    </row>
    <row r="33" spans="1:9" x14ac:dyDescent="0.3">
      <c r="A33" s="10" t="s">
        <v>70</v>
      </c>
      <c r="B33" s="10" t="s">
        <v>36</v>
      </c>
      <c r="C33" s="10">
        <v>4.43</v>
      </c>
      <c r="D33" s="10">
        <v>8</v>
      </c>
      <c r="E33" s="10">
        <v>4.3099999999999996</v>
      </c>
      <c r="F33" s="10">
        <v>49</v>
      </c>
      <c r="G33" s="10">
        <v>13</v>
      </c>
      <c r="H33" s="10">
        <v>0.94399999999999995</v>
      </c>
      <c r="I33" s="10">
        <v>93.2</v>
      </c>
    </row>
    <row r="34" spans="1:9" x14ac:dyDescent="0.3">
      <c r="A34" s="10" t="s">
        <v>71</v>
      </c>
      <c r="B34" s="10" t="s">
        <v>36</v>
      </c>
      <c r="C34" s="10">
        <v>3.49</v>
      </c>
      <c r="D34" s="10">
        <v>11</v>
      </c>
      <c r="E34" s="10">
        <v>3.77</v>
      </c>
      <c r="F34" s="10">
        <v>51</v>
      </c>
      <c r="G34" s="10">
        <v>5</v>
      </c>
      <c r="H34" s="10">
        <v>0.95199999999999996</v>
      </c>
      <c r="I34" s="10">
        <v>93.9</v>
      </c>
    </row>
    <row r="35" spans="1:9" x14ac:dyDescent="0.3">
      <c r="A35" s="10" t="s">
        <v>72</v>
      </c>
      <c r="B35" s="10" t="s">
        <v>53</v>
      </c>
      <c r="C35" s="10">
        <v>2.97</v>
      </c>
      <c r="D35" s="10">
        <v>4</v>
      </c>
      <c r="E35" s="10">
        <v>4.26</v>
      </c>
      <c r="F35" s="10">
        <v>18</v>
      </c>
      <c r="G35" s="10">
        <v>7</v>
      </c>
      <c r="H35" s="10">
        <v>0.88200000000000001</v>
      </c>
      <c r="I35" s="10">
        <v>86</v>
      </c>
    </row>
    <row r="36" spans="1:9" x14ac:dyDescent="0.3">
      <c r="A36" s="10" t="s">
        <v>73</v>
      </c>
      <c r="B36" s="10" t="s">
        <v>17</v>
      </c>
      <c r="C36" s="10">
        <v>3.91</v>
      </c>
      <c r="D36" s="10">
        <v>8</v>
      </c>
      <c r="E36" s="10">
        <v>5</v>
      </c>
      <c r="F36" s="10">
        <v>59</v>
      </c>
      <c r="G36" s="10">
        <v>8</v>
      </c>
      <c r="H36" s="10">
        <v>0.94699999999999995</v>
      </c>
      <c r="I36" s="10">
        <v>76.2</v>
      </c>
    </row>
    <row r="37" spans="1:9" x14ac:dyDescent="0.3">
      <c r="A37" s="10" t="s">
        <v>74</v>
      </c>
      <c r="B37" s="10" t="s">
        <v>41</v>
      </c>
      <c r="C37" s="10">
        <v>2.89</v>
      </c>
      <c r="D37" s="10">
        <v>11</v>
      </c>
      <c r="E37" s="10">
        <v>3.56</v>
      </c>
      <c r="F37" s="10">
        <v>36</v>
      </c>
      <c r="G37" s="10">
        <v>1</v>
      </c>
      <c r="H37" s="10">
        <v>0.95099999999999996</v>
      </c>
      <c r="I37" s="10">
        <v>87.9</v>
      </c>
    </row>
    <row r="38" spans="1:9" x14ac:dyDescent="0.3">
      <c r="A38" s="10" t="s">
        <v>75</v>
      </c>
      <c r="B38" s="10" t="s">
        <v>17</v>
      </c>
      <c r="C38" s="10">
        <v>3.6</v>
      </c>
      <c r="D38" s="10">
        <v>10</v>
      </c>
      <c r="E38" s="10">
        <v>3.94</v>
      </c>
      <c r="F38" s="10">
        <v>75</v>
      </c>
      <c r="G38" s="10">
        <v>6</v>
      </c>
      <c r="H38" s="10">
        <v>0.96499999999999997</v>
      </c>
      <c r="I38" s="10">
        <v>86.7</v>
      </c>
    </row>
    <row r="39" spans="1:9" x14ac:dyDescent="0.3">
      <c r="A39" s="10" t="s">
        <v>76</v>
      </c>
      <c r="B39" s="10" t="s">
        <v>36</v>
      </c>
      <c r="C39" s="10">
        <v>2.52</v>
      </c>
      <c r="D39" s="10">
        <v>5</v>
      </c>
      <c r="E39" s="10">
        <v>3.71</v>
      </c>
      <c r="F39" s="10">
        <v>14</v>
      </c>
      <c r="G39" s="10">
        <v>1</v>
      </c>
      <c r="H39" s="10">
        <v>0.98599999999999999</v>
      </c>
      <c r="I39" s="10">
        <v>90.7</v>
      </c>
    </row>
    <row r="40" spans="1:9" x14ac:dyDescent="0.3">
      <c r="A40" s="10" t="s">
        <v>77</v>
      </c>
      <c r="B40" s="10" t="s">
        <v>36</v>
      </c>
      <c r="C40" s="10">
        <v>2.84</v>
      </c>
      <c r="D40" s="10">
        <v>2</v>
      </c>
      <c r="E40" s="10">
        <v>4.96</v>
      </c>
      <c r="F40" s="10">
        <v>38</v>
      </c>
      <c r="G40" s="10">
        <v>2</v>
      </c>
      <c r="H40" s="10">
        <v>0.97599999999999998</v>
      </c>
      <c r="I40" s="10">
        <v>76.3</v>
      </c>
    </row>
    <row r="41" spans="1:9" x14ac:dyDescent="0.3">
      <c r="A41" s="10" t="s">
        <v>78</v>
      </c>
      <c r="B41" s="10" t="s">
        <v>41</v>
      </c>
      <c r="C41" s="10">
        <v>3.6</v>
      </c>
      <c r="D41" s="10">
        <v>3</v>
      </c>
      <c r="E41" s="10">
        <v>3.74</v>
      </c>
      <c r="F41" s="10">
        <v>46</v>
      </c>
      <c r="G41" s="10">
        <v>1</v>
      </c>
      <c r="H41" s="10">
        <v>0.93100000000000005</v>
      </c>
      <c r="I41" s="10">
        <v>81</v>
      </c>
    </row>
    <row r="42" spans="1:9" x14ac:dyDescent="0.3">
      <c r="A42" s="10" t="s">
        <v>79</v>
      </c>
      <c r="B42" s="10" t="s">
        <v>17</v>
      </c>
      <c r="C42" s="10">
        <v>3.87</v>
      </c>
      <c r="D42" s="10">
        <v>2</v>
      </c>
      <c r="E42" s="10">
        <v>3.56</v>
      </c>
      <c r="F42" s="10">
        <v>47</v>
      </c>
      <c r="G42" s="10">
        <v>11</v>
      </c>
      <c r="H42" s="10">
        <v>0.92800000000000005</v>
      </c>
      <c r="I42" s="10">
        <v>90.1</v>
      </c>
    </row>
    <row r="43" spans="1:9" x14ac:dyDescent="0.3">
      <c r="A43" s="10" t="s">
        <v>80</v>
      </c>
      <c r="B43" s="10" t="s">
        <v>39</v>
      </c>
      <c r="C43" s="10">
        <v>3.59</v>
      </c>
      <c r="D43" s="10">
        <v>6</v>
      </c>
      <c r="E43" s="10">
        <v>3.65</v>
      </c>
      <c r="F43" s="10">
        <v>92</v>
      </c>
      <c r="G43" s="10">
        <v>5</v>
      </c>
      <c r="H43" s="10">
        <v>0.96699999999999997</v>
      </c>
      <c r="I43" s="10">
        <v>97.5</v>
      </c>
    </row>
    <row r="44" spans="1:9" x14ac:dyDescent="0.3">
      <c r="A44" s="10" t="s">
        <v>81</v>
      </c>
      <c r="B44" s="10" t="s">
        <v>41</v>
      </c>
      <c r="C44" s="10">
        <v>3.44</v>
      </c>
      <c r="D44" s="10">
        <v>6</v>
      </c>
      <c r="E44" s="10">
        <v>3.92</v>
      </c>
      <c r="F44" s="10">
        <v>17</v>
      </c>
      <c r="G44" s="10">
        <v>10</v>
      </c>
      <c r="H44" s="10">
        <v>0.93400000000000005</v>
      </c>
      <c r="I44" s="10">
        <v>94.7</v>
      </c>
    </row>
    <row r="45" spans="1:9" x14ac:dyDescent="0.3">
      <c r="A45" s="10" t="s">
        <v>82</v>
      </c>
      <c r="B45" s="10" t="s">
        <v>39</v>
      </c>
      <c r="C45" s="10">
        <v>3.35</v>
      </c>
      <c r="D45" s="10">
        <v>8</v>
      </c>
      <c r="E45" s="10">
        <v>3.52</v>
      </c>
      <c r="F45" s="10">
        <v>74</v>
      </c>
      <c r="G45" s="10">
        <v>9</v>
      </c>
      <c r="H45" s="10">
        <v>0.91300000000000003</v>
      </c>
      <c r="I45" s="10">
        <v>85.8</v>
      </c>
    </row>
    <row r="46" spans="1:9" x14ac:dyDescent="0.3">
      <c r="A46" s="10" t="s">
        <v>83</v>
      </c>
      <c r="B46" s="10" t="s">
        <v>41</v>
      </c>
      <c r="C46" s="10">
        <v>2.76</v>
      </c>
      <c r="D46" s="10">
        <v>10</v>
      </c>
      <c r="E46" s="10">
        <v>3.78</v>
      </c>
      <c r="F46" s="10">
        <v>95</v>
      </c>
      <c r="G46" s="10">
        <v>6</v>
      </c>
      <c r="H46" s="10">
        <v>1</v>
      </c>
      <c r="I46" s="10">
        <v>80.099999999999994</v>
      </c>
    </row>
    <row r="47" spans="1:9" x14ac:dyDescent="0.3">
      <c r="A47" s="10" t="s">
        <v>84</v>
      </c>
      <c r="B47" s="10" t="s">
        <v>41</v>
      </c>
      <c r="C47" s="10">
        <v>3.14</v>
      </c>
      <c r="D47" s="10">
        <v>10</v>
      </c>
      <c r="E47" s="10">
        <v>4.09</v>
      </c>
      <c r="F47" s="10">
        <v>26</v>
      </c>
      <c r="G47" s="10">
        <v>11</v>
      </c>
      <c r="H47" s="10">
        <v>0.94099999999999995</v>
      </c>
      <c r="I47" s="10">
        <v>89</v>
      </c>
    </row>
    <row r="48" spans="1:9" x14ac:dyDescent="0.3">
      <c r="A48" s="10" t="s">
        <v>85</v>
      </c>
      <c r="B48" s="10" t="s">
        <v>41</v>
      </c>
      <c r="C48" s="10">
        <v>3.27</v>
      </c>
      <c r="D48" s="10">
        <v>4</v>
      </c>
      <c r="E48" s="10">
        <v>3.93</v>
      </c>
      <c r="F48" s="10">
        <v>80</v>
      </c>
      <c r="G48" s="10">
        <v>11</v>
      </c>
      <c r="H48" s="10">
        <v>0.93100000000000005</v>
      </c>
      <c r="I48" s="10">
        <v>74.099999999999994</v>
      </c>
    </row>
    <row r="49" spans="1:9" x14ac:dyDescent="0.3">
      <c r="A49" s="10" t="s">
        <v>86</v>
      </c>
      <c r="B49" s="10" t="s">
        <v>39</v>
      </c>
      <c r="C49" s="10">
        <v>4.03</v>
      </c>
      <c r="D49" s="10">
        <v>4</v>
      </c>
      <c r="E49" s="10">
        <v>4.5</v>
      </c>
      <c r="F49" s="10">
        <v>98</v>
      </c>
      <c r="G49" s="10">
        <v>1</v>
      </c>
      <c r="H49" s="10">
        <v>0.88400000000000001</v>
      </c>
      <c r="I49" s="10">
        <v>76.8</v>
      </c>
    </row>
    <row r="50" spans="1:9" x14ac:dyDescent="0.3">
      <c r="A50" s="10" t="s">
        <v>87</v>
      </c>
      <c r="B50" s="10" t="s">
        <v>36</v>
      </c>
      <c r="C50" s="10">
        <v>3.67</v>
      </c>
      <c r="D50" s="10">
        <v>4</v>
      </c>
      <c r="E50" s="10">
        <v>3.81</v>
      </c>
      <c r="F50" s="10">
        <v>54</v>
      </c>
      <c r="G50" s="10">
        <v>13</v>
      </c>
      <c r="H50" s="10">
        <v>0.97599999999999998</v>
      </c>
      <c r="I50" s="10">
        <v>100</v>
      </c>
    </row>
    <row r="51" spans="1:9" x14ac:dyDescent="0.3">
      <c r="A51" s="10" t="s">
        <v>88</v>
      </c>
      <c r="B51" s="10" t="s">
        <v>39</v>
      </c>
      <c r="C51" s="10">
        <v>2.62</v>
      </c>
      <c r="D51" s="10">
        <v>5</v>
      </c>
      <c r="E51" s="10">
        <v>3.88</v>
      </c>
      <c r="F51" s="10">
        <v>13</v>
      </c>
      <c r="G51" s="10">
        <v>1</v>
      </c>
      <c r="H51" s="10">
        <v>0.92</v>
      </c>
      <c r="I51" s="10">
        <v>89</v>
      </c>
    </row>
    <row r="52" spans="1:9" x14ac:dyDescent="0.3">
      <c r="A52" s="10" t="s">
        <v>89</v>
      </c>
      <c r="B52" s="10" t="s">
        <v>53</v>
      </c>
      <c r="C52" s="10">
        <v>3.66</v>
      </c>
      <c r="D52" s="10">
        <v>9</v>
      </c>
      <c r="E52" s="10">
        <v>4.16</v>
      </c>
      <c r="F52" s="10">
        <v>45</v>
      </c>
      <c r="G52" s="10">
        <v>2</v>
      </c>
      <c r="H52" s="10">
        <v>0.95099999999999996</v>
      </c>
      <c r="I52" s="10">
        <v>81.5</v>
      </c>
    </row>
    <row r="53" spans="1:9" x14ac:dyDescent="0.3">
      <c r="A53" s="10" t="s">
        <v>90</v>
      </c>
      <c r="B53" s="10" t="s">
        <v>39</v>
      </c>
      <c r="C53" s="10">
        <v>3.31</v>
      </c>
      <c r="D53" s="10">
        <v>7</v>
      </c>
      <c r="E53" s="10">
        <v>5</v>
      </c>
      <c r="F53" s="10">
        <v>79</v>
      </c>
      <c r="G53" s="10">
        <v>9</v>
      </c>
      <c r="H53" s="10">
        <v>0.97899999999999998</v>
      </c>
      <c r="I53" s="10">
        <v>93.3</v>
      </c>
    </row>
    <row r="54" spans="1:9" x14ac:dyDescent="0.3">
      <c r="A54" s="10" t="s">
        <v>91</v>
      </c>
      <c r="B54" s="10" t="s">
        <v>41</v>
      </c>
      <c r="C54" s="10">
        <v>3.16</v>
      </c>
      <c r="D54" s="10">
        <v>9</v>
      </c>
      <c r="E54" s="10">
        <v>3.53</v>
      </c>
      <c r="F54" s="10">
        <v>40</v>
      </c>
      <c r="G54" s="10">
        <v>3</v>
      </c>
      <c r="H54" s="10">
        <v>0.92100000000000004</v>
      </c>
      <c r="I54" s="10">
        <v>97.9</v>
      </c>
    </row>
    <row r="55" spans="1:9" x14ac:dyDescent="0.3">
      <c r="A55" s="10" t="s">
        <v>92</v>
      </c>
      <c r="B55" s="10" t="s">
        <v>53</v>
      </c>
      <c r="C55" s="10">
        <v>3.81</v>
      </c>
      <c r="D55" s="10">
        <v>2</v>
      </c>
      <c r="E55" s="10">
        <v>5</v>
      </c>
      <c r="F55" s="10">
        <v>28</v>
      </c>
      <c r="G55" s="10">
        <v>1</v>
      </c>
      <c r="H55" s="10">
        <v>0.95199999999999996</v>
      </c>
      <c r="I55" s="10">
        <v>80.599999999999994</v>
      </c>
    </row>
    <row r="56" spans="1:9" x14ac:dyDescent="0.3">
      <c r="A56" s="10" t="s">
        <v>93</v>
      </c>
      <c r="B56" s="10" t="s">
        <v>36</v>
      </c>
      <c r="C56" s="10">
        <v>4.0199999999999996</v>
      </c>
      <c r="D56" s="10">
        <v>9</v>
      </c>
      <c r="E56" s="10">
        <v>3.29</v>
      </c>
      <c r="F56" s="10">
        <v>70</v>
      </c>
      <c r="G56" s="10">
        <v>5</v>
      </c>
      <c r="H56" s="10">
        <v>0.996</v>
      </c>
      <c r="I56" s="10">
        <v>80.7</v>
      </c>
    </row>
    <row r="57" spans="1:9" x14ac:dyDescent="0.3">
      <c r="A57" s="10" t="s">
        <v>94</v>
      </c>
      <c r="B57" s="10" t="s">
        <v>53</v>
      </c>
      <c r="C57" s="10">
        <v>3.97</v>
      </c>
      <c r="D57" s="10">
        <v>5</v>
      </c>
      <c r="E57" s="10">
        <v>4.1399999999999997</v>
      </c>
      <c r="F57" s="10">
        <v>63</v>
      </c>
      <c r="G57" s="10">
        <v>7</v>
      </c>
      <c r="H57" s="10">
        <v>0.876</v>
      </c>
      <c r="I57" s="10">
        <v>79.5</v>
      </c>
    </row>
    <row r="58" spans="1:9" x14ac:dyDescent="0.3">
      <c r="A58" s="10" t="s">
        <v>95</v>
      </c>
      <c r="B58" s="10" t="s">
        <v>36</v>
      </c>
      <c r="C58" s="10">
        <v>3.08</v>
      </c>
      <c r="D58" s="10">
        <v>2</v>
      </c>
      <c r="E58" s="10">
        <v>3.8</v>
      </c>
      <c r="F58" s="10">
        <v>48</v>
      </c>
      <c r="G58" s="10">
        <v>6</v>
      </c>
      <c r="H58" s="10">
        <v>0.92600000000000005</v>
      </c>
      <c r="I58" s="10">
        <v>94.6</v>
      </c>
    </row>
    <row r="59" spans="1:9" x14ac:dyDescent="0.3">
      <c r="A59" s="10" t="s">
        <v>96</v>
      </c>
      <c r="B59" s="10" t="s">
        <v>36</v>
      </c>
      <c r="C59" s="10">
        <v>3.35</v>
      </c>
      <c r="D59" s="10">
        <v>9</v>
      </c>
      <c r="E59" s="10">
        <v>3.51</v>
      </c>
      <c r="F59" s="10">
        <v>83</v>
      </c>
      <c r="G59" s="10">
        <v>12</v>
      </c>
      <c r="H59" s="10">
        <v>0.92300000000000004</v>
      </c>
      <c r="I59" s="10">
        <v>94.7</v>
      </c>
    </row>
    <row r="60" spans="1:9" x14ac:dyDescent="0.3">
      <c r="A60" s="10" t="s">
        <v>97</v>
      </c>
      <c r="B60" s="10" t="s">
        <v>41</v>
      </c>
      <c r="C60" s="10">
        <v>3.67</v>
      </c>
      <c r="D60" s="10">
        <v>5</v>
      </c>
      <c r="E60" s="10">
        <v>4.42</v>
      </c>
      <c r="F60" s="10">
        <v>99</v>
      </c>
      <c r="G60" s="10">
        <v>1</v>
      </c>
      <c r="H60" s="10">
        <v>0.94399999999999995</v>
      </c>
      <c r="I60" s="10">
        <v>98.9</v>
      </c>
    </row>
    <row r="61" spans="1:9" x14ac:dyDescent="0.3">
      <c r="A61" s="10" t="s">
        <v>98</v>
      </c>
      <c r="B61" s="10" t="s">
        <v>53</v>
      </c>
      <c r="C61" s="10">
        <v>3.99</v>
      </c>
      <c r="D61" s="10">
        <v>7</v>
      </c>
      <c r="E61" s="10">
        <v>4.3600000000000003</v>
      </c>
      <c r="F61" s="10">
        <v>28</v>
      </c>
      <c r="G61" s="10">
        <v>5</v>
      </c>
      <c r="H61" s="10">
        <v>0.94899999999999995</v>
      </c>
      <c r="I61" s="10">
        <v>95.1</v>
      </c>
    </row>
    <row r="62" spans="1:9" x14ac:dyDescent="0.3">
      <c r="A62" s="10" t="s">
        <v>99</v>
      </c>
      <c r="B62" s="10" t="s">
        <v>17</v>
      </c>
      <c r="C62" s="10">
        <v>3.26</v>
      </c>
      <c r="D62" s="10">
        <v>9</v>
      </c>
      <c r="E62" s="10">
        <v>3.71</v>
      </c>
      <c r="F62" s="10">
        <v>48</v>
      </c>
      <c r="G62" s="10">
        <v>5</v>
      </c>
      <c r="H62" s="10">
        <v>0.91800000000000004</v>
      </c>
      <c r="I62" s="10">
        <v>68.7</v>
      </c>
    </row>
    <row r="63" spans="1:9" x14ac:dyDescent="0.3">
      <c r="A63" s="10" t="s">
        <v>100</v>
      </c>
      <c r="B63" s="10" t="s">
        <v>53</v>
      </c>
      <c r="C63" s="10">
        <v>3.41</v>
      </c>
      <c r="D63" s="10">
        <v>5</v>
      </c>
      <c r="E63" s="10">
        <v>2.74</v>
      </c>
      <c r="F63" s="10">
        <v>76</v>
      </c>
      <c r="G63" s="10">
        <v>6</v>
      </c>
      <c r="H63" s="10">
        <v>0.93</v>
      </c>
      <c r="I63" s="10">
        <v>87.8</v>
      </c>
    </row>
    <row r="64" spans="1:9" x14ac:dyDescent="0.3">
      <c r="A64" s="10" t="s">
        <v>101</v>
      </c>
      <c r="B64" s="10" t="s">
        <v>53</v>
      </c>
      <c r="C64" s="10">
        <v>2.95</v>
      </c>
      <c r="D64" s="10">
        <v>4</v>
      </c>
      <c r="E64" s="10">
        <v>3.75</v>
      </c>
      <c r="F64" s="10">
        <v>54</v>
      </c>
      <c r="G64" s="10">
        <v>3</v>
      </c>
      <c r="H64" s="10">
        <v>0.92700000000000005</v>
      </c>
      <c r="I64" s="10">
        <v>74.400000000000006</v>
      </c>
    </row>
    <row r="65" spans="1:9" x14ac:dyDescent="0.3">
      <c r="A65" s="10" t="s">
        <v>102</v>
      </c>
      <c r="B65" s="10" t="s">
        <v>39</v>
      </c>
      <c r="C65" s="10">
        <v>2.9</v>
      </c>
      <c r="D65" s="10">
        <v>10</v>
      </c>
      <c r="E65" s="10">
        <v>4.08</v>
      </c>
      <c r="F65" s="10">
        <v>22</v>
      </c>
      <c r="G65" s="10">
        <v>5</v>
      </c>
      <c r="H65" s="10">
        <v>0.93899999999999995</v>
      </c>
      <c r="I65" s="10">
        <v>79.900000000000006</v>
      </c>
    </row>
    <row r="66" spans="1:9" x14ac:dyDescent="0.3">
      <c r="A66" s="10" t="s">
        <v>103</v>
      </c>
      <c r="B66" s="10" t="s">
        <v>36</v>
      </c>
      <c r="C66" s="10">
        <v>3.91</v>
      </c>
      <c r="D66" s="10">
        <v>4</v>
      </c>
      <c r="E66" s="10">
        <v>4</v>
      </c>
      <c r="F66" s="10">
        <v>67</v>
      </c>
      <c r="G66" s="10">
        <v>7</v>
      </c>
      <c r="H66" s="10">
        <v>0.95699999999999996</v>
      </c>
      <c r="I66" s="10">
        <v>86.7</v>
      </c>
    </row>
    <row r="67" spans="1:9" x14ac:dyDescent="0.3">
      <c r="A67" s="10" t="s">
        <v>104</v>
      </c>
      <c r="B67" s="10" t="s">
        <v>53</v>
      </c>
      <c r="C67" s="10">
        <v>4.18</v>
      </c>
      <c r="D67" s="10">
        <v>10</v>
      </c>
      <c r="E67" s="10">
        <v>4.45</v>
      </c>
      <c r="F67" s="10">
        <v>29</v>
      </c>
      <c r="G67" s="10">
        <v>5</v>
      </c>
      <c r="H67" s="10">
        <v>0.97699999999999998</v>
      </c>
      <c r="I67" s="10">
        <v>93.4</v>
      </c>
    </row>
    <row r="68" spans="1:9" x14ac:dyDescent="0.3">
      <c r="A68" s="10" t="s">
        <v>105</v>
      </c>
      <c r="B68" s="10" t="s">
        <v>17</v>
      </c>
      <c r="C68" s="10">
        <v>3.46</v>
      </c>
      <c r="D68" s="10">
        <v>3</v>
      </c>
      <c r="E68" s="10">
        <v>5</v>
      </c>
      <c r="F68" s="10">
        <v>81</v>
      </c>
      <c r="G68" s="10">
        <v>5</v>
      </c>
      <c r="H68" s="10">
        <v>0.98199999999999998</v>
      </c>
      <c r="I68" s="10">
        <v>76.099999999999994</v>
      </c>
    </row>
    <row r="69" spans="1:9" x14ac:dyDescent="0.3">
      <c r="A69" s="10" t="s">
        <v>106</v>
      </c>
      <c r="B69" s="10" t="s">
        <v>36</v>
      </c>
      <c r="C69" s="10">
        <v>4</v>
      </c>
      <c r="D69" s="10">
        <v>3</v>
      </c>
      <c r="E69" s="10">
        <v>4.25</v>
      </c>
      <c r="F69" s="10">
        <v>70</v>
      </c>
      <c r="G69" s="10">
        <v>5</v>
      </c>
      <c r="H69" s="10">
        <v>0.97</v>
      </c>
      <c r="I69" s="10">
        <v>61.8</v>
      </c>
    </row>
    <row r="70" spans="1:9" x14ac:dyDescent="0.3">
      <c r="A70" s="10" t="s">
        <v>107</v>
      </c>
      <c r="B70" s="10" t="s">
        <v>53</v>
      </c>
      <c r="C70" s="10">
        <v>3.68</v>
      </c>
      <c r="D70" s="10">
        <v>3</v>
      </c>
      <c r="E70" s="10">
        <v>4.34</v>
      </c>
      <c r="F70" s="10">
        <v>48</v>
      </c>
      <c r="G70" s="10">
        <v>10</v>
      </c>
      <c r="H70" s="10">
        <v>0.92400000000000004</v>
      </c>
      <c r="I70" s="10">
        <v>86.8</v>
      </c>
    </row>
    <row r="71" spans="1:9" x14ac:dyDescent="0.3">
      <c r="A71" s="10" t="s">
        <v>108</v>
      </c>
      <c r="B71" s="10" t="s">
        <v>41</v>
      </c>
      <c r="C71" s="10">
        <v>3.18</v>
      </c>
      <c r="D71" s="10">
        <v>7</v>
      </c>
      <c r="E71" s="10">
        <v>4.09</v>
      </c>
      <c r="F71" s="10">
        <v>10</v>
      </c>
      <c r="G71" s="10">
        <v>10</v>
      </c>
      <c r="H71" s="10">
        <v>0.95</v>
      </c>
      <c r="I71" s="10">
        <v>100</v>
      </c>
    </row>
    <row r="72" spans="1:9" x14ac:dyDescent="0.3">
      <c r="A72" s="10" t="s">
        <v>109</v>
      </c>
      <c r="B72" s="10" t="s">
        <v>17</v>
      </c>
      <c r="C72" s="10">
        <v>3.68</v>
      </c>
      <c r="D72" s="10">
        <v>4</v>
      </c>
      <c r="E72" s="10">
        <v>4.7</v>
      </c>
      <c r="F72" s="10">
        <v>12</v>
      </c>
      <c r="G72" s="10">
        <v>3</v>
      </c>
      <c r="H72" s="10">
        <v>1</v>
      </c>
      <c r="I72" s="10">
        <v>83</v>
      </c>
    </row>
    <row r="73" spans="1:9" x14ac:dyDescent="0.3">
      <c r="A73" s="10" t="s">
        <v>110</v>
      </c>
      <c r="B73" s="10" t="s">
        <v>53</v>
      </c>
      <c r="C73" s="10">
        <v>4.2699999999999996</v>
      </c>
      <c r="D73" s="10">
        <v>10</v>
      </c>
      <c r="E73" s="10">
        <v>4.32</v>
      </c>
      <c r="F73" s="10">
        <v>86</v>
      </c>
      <c r="G73" s="10">
        <v>1</v>
      </c>
      <c r="H73" s="10">
        <v>0.98</v>
      </c>
      <c r="I73" s="10">
        <v>85.5</v>
      </c>
    </row>
    <row r="74" spans="1:9" x14ac:dyDescent="0.3">
      <c r="A74" s="10" t="s">
        <v>111</v>
      </c>
      <c r="B74" s="10" t="s">
        <v>17</v>
      </c>
      <c r="C74" s="10">
        <v>3.48</v>
      </c>
      <c r="D74" s="10">
        <v>5</v>
      </c>
      <c r="E74" s="10">
        <v>4.45</v>
      </c>
      <c r="F74" s="10">
        <v>71</v>
      </c>
      <c r="G74" s="10">
        <v>5</v>
      </c>
      <c r="H74" s="10">
        <v>0.93700000000000006</v>
      </c>
      <c r="I74" s="10">
        <v>100</v>
      </c>
    </row>
    <row r="75" spans="1:9" x14ac:dyDescent="0.3">
      <c r="A75" s="10" t="s">
        <v>112</v>
      </c>
      <c r="B75" s="10" t="s">
        <v>39</v>
      </c>
      <c r="C75" s="10">
        <v>4.28</v>
      </c>
      <c r="D75" s="10">
        <v>2</v>
      </c>
      <c r="E75" s="10">
        <v>5</v>
      </c>
      <c r="F75" s="10">
        <v>72</v>
      </c>
      <c r="G75" s="10">
        <v>14</v>
      </c>
      <c r="H75" s="10">
        <v>0.997</v>
      </c>
      <c r="I75" s="10">
        <v>90.9</v>
      </c>
    </row>
    <row r="76" spans="1:9" x14ac:dyDescent="0.3">
      <c r="A76" s="10" t="s">
        <v>113</v>
      </c>
      <c r="B76" s="10" t="s">
        <v>39</v>
      </c>
      <c r="C76" s="10">
        <v>2.19</v>
      </c>
      <c r="D76" s="10">
        <v>5</v>
      </c>
      <c r="E76" s="10">
        <v>4.1399999999999997</v>
      </c>
      <c r="F76" s="10">
        <v>34</v>
      </c>
      <c r="G76" s="10">
        <v>9</v>
      </c>
      <c r="H76" s="10">
        <v>0.93799999999999994</v>
      </c>
      <c r="I76" s="10">
        <v>87.2</v>
      </c>
    </row>
    <row r="77" spans="1:9" x14ac:dyDescent="0.3">
      <c r="A77" s="10" t="s">
        <v>114</v>
      </c>
      <c r="B77" s="10" t="s">
        <v>41</v>
      </c>
      <c r="C77" s="10">
        <v>3.91</v>
      </c>
      <c r="D77" s="10">
        <v>2</v>
      </c>
      <c r="E77" s="10">
        <v>3.84</v>
      </c>
      <c r="F77" s="10">
        <v>65</v>
      </c>
      <c r="G77" s="10">
        <v>14</v>
      </c>
      <c r="H77" s="10">
        <v>0.93</v>
      </c>
      <c r="I77" s="10">
        <v>89.4</v>
      </c>
    </row>
    <row r="78" spans="1:9" x14ac:dyDescent="0.3">
      <c r="A78" s="10" t="s">
        <v>115</v>
      </c>
      <c r="B78" s="10" t="s">
        <v>17</v>
      </c>
      <c r="C78" s="10">
        <v>3.54</v>
      </c>
      <c r="D78" s="10">
        <v>6</v>
      </c>
      <c r="E78" s="10">
        <v>4.2699999999999996</v>
      </c>
      <c r="F78" s="10">
        <v>42</v>
      </c>
      <c r="G78" s="10">
        <v>1</v>
      </c>
      <c r="H78" s="10">
        <v>0.99199999999999999</v>
      </c>
      <c r="I78" s="10">
        <v>87.5</v>
      </c>
    </row>
    <row r="79" spans="1:9" x14ac:dyDescent="0.3">
      <c r="A79" s="10" t="s">
        <v>116</v>
      </c>
      <c r="B79" s="10" t="s">
        <v>39</v>
      </c>
      <c r="C79" s="10">
        <v>3.35</v>
      </c>
      <c r="D79" s="10">
        <v>5</v>
      </c>
      <c r="E79" s="10">
        <v>4.68</v>
      </c>
      <c r="F79" s="10">
        <v>47</v>
      </c>
      <c r="G79" s="10">
        <v>3</v>
      </c>
      <c r="H79" s="10">
        <v>0.91100000000000003</v>
      </c>
      <c r="I79" s="10">
        <v>73.599999999999994</v>
      </c>
    </row>
    <row r="80" spans="1:9" x14ac:dyDescent="0.3">
      <c r="A80" s="10" t="s">
        <v>117</v>
      </c>
      <c r="B80" s="10" t="s">
        <v>36</v>
      </c>
      <c r="C80" s="10">
        <v>3.55</v>
      </c>
      <c r="D80" s="10">
        <v>9</v>
      </c>
      <c r="E80" s="10">
        <v>4.3</v>
      </c>
      <c r="F80" s="10">
        <v>15</v>
      </c>
      <c r="G80" s="10">
        <v>13</v>
      </c>
      <c r="H80" s="10">
        <v>0.89300000000000002</v>
      </c>
      <c r="I80" s="10">
        <v>71.599999999999994</v>
      </c>
    </row>
    <row r="81" spans="1:9" x14ac:dyDescent="0.3">
      <c r="A81" s="10" t="s">
        <v>118</v>
      </c>
      <c r="B81" s="10" t="s">
        <v>41</v>
      </c>
      <c r="C81" s="10">
        <v>2.5099999999999998</v>
      </c>
      <c r="D81" s="10">
        <v>9</v>
      </c>
      <c r="E81" s="10">
        <v>4.6399999999999997</v>
      </c>
      <c r="F81" s="10">
        <v>67</v>
      </c>
      <c r="G81" s="10">
        <v>13</v>
      </c>
      <c r="H81" s="10">
        <v>0.97799999999999998</v>
      </c>
      <c r="I81" s="10">
        <v>100</v>
      </c>
    </row>
    <row r="82" spans="1:9" x14ac:dyDescent="0.3">
      <c r="A82" s="10" t="s">
        <v>119</v>
      </c>
      <c r="B82" s="10" t="s">
        <v>36</v>
      </c>
      <c r="C82" s="10">
        <v>3.39</v>
      </c>
      <c r="D82" s="10">
        <v>8</v>
      </c>
      <c r="E82" s="10">
        <v>3.6</v>
      </c>
      <c r="F82" s="10">
        <v>53</v>
      </c>
      <c r="G82" s="10">
        <v>4</v>
      </c>
      <c r="H82" s="10">
        <v>0.95099999999999996</v>
      </c>
      <c r="I82" s="10">
        <v>86.8</v>
      </c>
    </row>
    <row r="83" spans="1:9" x14ac:dyDescent="0.3">
      <c r="A83" s="10" t="s">
        <v>120</v>
      </c>
      <c r="B83" s="10" t="s">
        <v>36</v>
      </c>
      <c r="C83" s="10">
        <v>3.68</v>
      </c>
      <c r="D83" s="10">
        <v>4</v>
      </c>
      <c r="E83" s="10">
        <v>3.48</v>
      </c>
      <c r="F83" s="10">
        <v>54</v>
      </c>
      <c r="G83" s="10">
        <v>14</v>
      </c>
      <c r="H83" s="10">
        <v>0.95399999999999996</v>
      </c>
      <c r="I83" s="10">
        <v>86</v>
      </c>
    </row>
    <row r="84" spans="1:9" x14ac:dyDescent="0.3">
      <c r="A84" s="10" t="s">
        <v>121</v>
      </c>
      <c r="B84" s="10" t="s">
        <v>17</v>
      </c>
      <c r="C84" s="10">
        <v>4.24</v>
      </c>
      <c r="D84" s="10">
        <v>2</v>
      </c>
      <c r="E84" s="10">
        <v>3.67</v>
      </c>
      <c r="F84" s="10">
        <v>41</v>
      </c>
      <c r="G84" s="10">
        <v>1</v>
      </c>
      <c r="H84" s="10">
        <v>0.93899999999999995</v>
      </c>
      <c r="I84" s="10">
        <v>84.1</v>
      </c>
    </row>
    <row r="85" spans="1:9" x14ac:dyDescent="0.3">
      <c r="A85" s="10" t="s">
        <v>122</v>
      </c>
      <c r="B85" s="10" t="s">
        <v>36</v>
      </c>
      <c r="C85" s="10">
        <v>3.24</v>
      </c>
      <c r="D85" s="10">
        <v>2</v>
      </c>
      <c r="E85" s="10">
        <v>3.24</v>
      </c>
      <c r="F85" s="10">
        <v>54</v>
      </c>
      <c r="G85" s="10">
        <v>1</v>
      </c>
      <c r="H85" s="10">
        <v>0.94299999999999995</v>
      </c>
      <c r="I85" s="10">
        <v>92.8</v>
      </c>
    </row>
    <row r="86" spans="1:9" x14ac:dyDescent="0.3">
      <c r="A86" s="10" t="s">
        <v>123</v>
      </c>
      <c r="B86" s="10" t="s">
        <v>36</v>
      </c>
      <c r="C86" s="10">
        <v>3.1</v>
      </c>
      <c r="D86" s="10">
        <v>4</v>
      </c>
      <c r="E86" s="10">
        <v>4.07</v>
      </c>
      <c r="F86" s="10">
        <v>70</v>
      </c>
      <c r="G86" s="10">
        <v>8</v>
      </c>
      <c r="H86" s="10">
        <v>0.93600000000000005</v>
      </c>
      <c r="I86" s="10">
        <v>100</v>
      </c>
    </row>
    <row r="87" spans="1:9" x14ac:dyDescent="0.3">
      <c r="A87" s="10" t="s">
        <v>124</v>
      </c>
      <c r="B87" s="10" t="s">
        <v>36</v>
      </c>
      <c r="C87" s="10">
        <v>3.25</v>
      </c>
      <c r="D87" s="10">
        <v>7</v>
      </c>
      <c r="E87" s="10">
        <v>3.74</v>
      </c>
      <c r="F87" s="10">
        <v>56</v>
      </c>
      <c r="G87" s="10">
        <v>2</v>
      </c>
      <c r="H87" s="10">
        <v>0.93100000000000005</v>
      </c>
      <c r="I87" s="10">
        <v>90.2</v>
      </c>
    </row>
    <row r="88" spans="1:9" x14ac:dyDescent="0.3">
      <c r="A88" s="10" t="s">
        <v>125</v>
      </c>
      <c r="B88" s="10" t="s">
        <v>36</v>
      </c>
      <c r="C88" s="10">
        <v>3.96</v>
      </c>
      <c r="D88" s="10">
        <v>8</v>
      </c>
      <c r="E88" s="10">
        <v>4.74</v>
      </c>
      <c r="F88" s="10">
        <v>30</v>
      </c>
      <c r="G88" s="10">
        <v>12</v>
      </c>
      <c r="H88" s="10">
        <v>0.93899999999999995</v>
      </c>
      <c r="I88" s="10">
        <v>79.099999999999994</v>
      </c>
    </row>
    <row r="89" spans="1:9" x14ac:dyDescent="0.3">
      <c r="A89" s="10" t="s">
        <v>126</v>
      </c>
      <c r="B89" s="10" t="s">
        <v>17</v>
      </c>
      <c r="C89" s="10">
        <v>3.66</v>
      </c>
      <c r="D89" s="10">
        <v>7</v>
      </c>
      <c r="E89" s="10">
        <v>3.23</v>
      </c>
      <c r="F89" s="10">
        <v>89</v>
      </c>
      <c r="G89" s="10">
        <v>8</v>
      </c>
      <c r="H89" s="10">
        <v>0.93799999999999994</v>
      </c>
      <c r="I89" s="10">
        <v>83.7</v>
      </c>
    </row>
    <row r="90" spans="1:9" x14ac:dyDescent="0.3">
      <c r="A90" s="10" t="s">
        <v>127</v>
      </c>
      <c r="B90" s="10" t="s">
        <v>17</v>
      </c>
      <c r="C90" s="10">
        <v>3.24</v>
      </c>
      <c r="D90" s="10">
        <v>7</v>
      </c>
      <c r="E90" s="10">
        <v>4.93</v>
      </c>
      <c r="F90" s="10">
        <v>94</v>
      </c>
      <c r="G90" s="10">
        <v>7</v>
      </c>
      <c r="H90" s="10">
        <v>0.92500000000000004</v>
      </c>
      <c r="I90" s="10">
        <v>95.7</v>
      </c>
    </row>
    <row r="91" spans="1:9" x14ac:dyDescent="0.3">
      <c r="A91" s="10" t="s">
        <v>128</v>
      </c>
      <c r="B91" s="10" t="s">
        <v>39</v>
      </c>
      <c r="C91" s="10">
        <v>3.76</v>
      </c>
      <c r="D91" s="10">
        <v>7</v>
      </c>
      <c r="E91" s="10">
        <v>3.41</v>
      </c>
      <c r="F91" s="10">
        <v>84</v>
      </c>
      <c r="G91" s="10">
        <v>10</v>
      </c>
      <c r="H91" s="10">
        <v>0.93400000000000005</v>
      </c>
      <c r="I91" s="10">
        <v>79.2</v>
      </c>
    </row>
    <row r="92" spans="1:9" x14ac:dyDescent="0.3">
      <c r="A92" s="10" t="s">
        <v>129</v>
      </c>
      <c r="B92" s="10" t="s">
        <v>41</v>
      </c>
      <c r="C92" s="10">
        <v>3.55</v>
      </c>
      <c r="D92" s="10">
        <v>4</v>
      </c>
      <c r="E92" s="10">
        <v>3.26</v>
      </c>
      <c r="F92" s="10">
        <v>45</v>
      </c>
      <c r="G92" s="10">
        <v>10</v>
      </c>
      <c r="H92" s="10">
        <v>0.875</v>
      </c>
      <c r="I92" s="10">
        <v>93.5</v>
      </c>
    </row>
    <row r="93" spans="1:9" x14ac:dyDescent="0.3">
      <c r="A93" s="10" t="s">
        <v>130</v>
      </c>
      <c r="B93" s="10" t="s">
        <v>39</v>
      </c>
      <c r="C93" s="10">
        <v>3.98</v>
      </c>
      <c r="D93" s="10">
        <v>7</v>
      </c>
      <c r="E93" s="10">
        <v>3.51</v>
      </c>
      <c r="F93" s="10">
        <v>28</v>
      </c>
      <c r="G93" s="10">
        <v>2</v>
      </c>
      <c r="H93" s="10">
        <v>0.97099999999999997</v>
      </c>
      <c r="I93" s="10">
        <v>61.8</v>
      </c>
    </row>
    <row r="94" spans="1:9" x14ac:dyDescent="0.3">
      <c r="A94" s="10" t="s">
        <v>131</v>
      </c>
      <c r="B94" s="10" t="s">
        <v>36</v>
      </c>
      <c r="C94" s="10">
        <v>3.15</v>
      </c>
      <c r="D94" s="10">
        <v>9</v>
      </c>
      <c r="E94" s="10">
        <v>5</v>
      </c>
      <c r="F94" s="10">
        <v>29</v>
      </c>
      <c r="G94" s="10">
        <v>6</v>
      </c>
      <c r="H94" s="10">
        <v>0.96199999999999997</v>
      </c>
      <c r="I94" s="10">
        <v>82.7</v>
      </c>
    </row>
    <row r="95" spans="1:9" x14ac:dyDescent="0.3">
      <c r="A95" s="10" t="s">
        <v>132</v>
      </c>
      <c r="B95" s="10" t="s">
        <v>17</v>
      </c>
      <c r="C95" s="10">
        <v>3.34</v>
      </c>
      <c r="D95" s="10">
        <v>3</v>
      </c>
      <c r="E95" s="10">
        <v>3.98</v>
      </c>
      <c r="F95" s="10">
        <v>66</v>
      </c>
      <c r="G95" s="10">
        <v>6</v>
      </c>
      <c r="H95" s="10">
        <v>0.94699999999999995</v>
      </c>
      <c r="I95" s="10">
        <v>91.3</v>
      </c>
    </row>
    <row r="96" spans="1:9" x14ac:dyDescent="0.3">
      <c r="A96" s="10" t="s">
        <v>133</v>
      </c>
      <c r="B96" s="10" t="s">
        <v>36</v>
      </c>
      <c r="C96" s="10">
        <v>3.3</v>
      </c>
      <c r="D96" s="10">
        <v>6</v>
      </c>
      <c r="E96" s="10">
        <v>4.32</v>
      </c>
      <c r="F96" s="10">
        <v>27</v>
      </c>
      <c r="G96" s="10">
        <v>3</v>
      </c>
      <c r="H96" s="10">
        <v>0.95699999999999996</v>
      </c>
      <c r="I96" s="10">
        <v>97.7</v>
      </c>
    </row>
    <row r="97" spans="1:9" x14ac:dyDescent="0.3">
      <c r="A97" s="10" t="s">
        <v>134</v>
      </c>
      <c r="B97" s="10" t="s">
        <v>17</v>
      </c>
      <c r="C97" s="10">
        <v>2.77</v>
      </c>
      <c r="D97" s="10">
        <v>2</v>
      </c>
      <c r="E97" s="10">
        <v>3.89</v>
      </c>
      <c r="F97" s="10">
        <v>56</v>
      </c>
      <c r="G97" s="10">
        <v>11</v>
      </c>
      <c r="H97" s="10">
        <v>0.95799999999999996</v>
      </c>
      <c r="I97" s="10">
        <v>76.8</v>
      </c>
    </row>
    <row r="98" spans="1:9" x14ac:dyDescent="0.3">
      <c r="A98" s="10" t="s">
        <v>135</v>
      </c>
      <c r="B98" s="10" t="s">
        <v>39</v>
      </c>
      <c r="C98" s="10">
        <v>3.65</v>
      </c>
      <c r="D98" s="10">
        <v>2</v>
      </c>
      <c r="E98" s="10">
        <v>3.95</v>
      </c>
      <c r="F98" s="10">
        <v>58</v>
      </c>
      <c r="G98" s="10">
        <v>2</v>
      </c>
      <c r="H98" s="10">
        <v>0.92800000000000005</v>
      </c>
      <c r="I98" s="10">
        <v>70</v>
      </c>
    </row>
    <row r="99" spans="1:9" x14ac:dyDescent="0.3">
      <c r="A99" s="10" t="s">
        <v>136</v>
      </c>
      <c r="B99" s="10" t="s">
        <v>17</v>
      </c>
      <c r="C99" s="10">
        <v>3.63</v>
      </c>
      <c r="D99" s="10">
        <v>6</v>
      </c>
      <c r="E99" s="10">
        <v>3.7</v>
      </c>
      <c r="F99" s="10">
        <v>23</v>
      </c>
      <c r="G99" s="10">
        <v>12</v>
      </c>
      <c r="H99" s="10">
        <v>0.93400000000000005</v>
      </c>
      <c r="I99" s="10">
        <v>82.4</v>
      </c>
    </row>
    <row r="100" spans="1:9" x14ac:dyDescent="0.3">
      <c r="A100" s="10" t="s">
        <v>137</v>
      </c>
      <c r="B100" s="10" t="s">
        <v>39</v>
      </c>
      <c r="C100" s="10">
        <v>3.5</v>
      </c>
      <c r="D100" s="10">
        <v>4</v>
      </c>
      <c r="E100" s="10">
        <v>4.03</v>
      </c>
      <c r="F100" s="10">
        <v>24</v>
      </c>
      <c r="G100" s="10">
        <v>1</v>
      </c>
      <c r="H100" s="10">
        <v>0.96599999999999997</v>
      </c>
      <c r="I100" s="10">
        <v>73.7</v>
      </c>
    </row>
    <row r="101" spans="1:9" x14ac:dyDescent="0.3">
      <c r="A101" s="10" t="s">
        <v>138</v>
      </c>
      <c r="B101" s="10" t="s">
        <v>17</v>
      </c>
      <c r="C101" s="10">
        <v>3.38</v>
      </c>
      <c r="D101" s="10">
        <v>5</v>
      </c>
      <c r="E101" s="10">
        <v>4.3</v>
      </c>
      <c r="F101" s="10">
        <v>40</v>
      </c>
      <c r="G101" s="10">
        <v>6</v>
      </c>
      <c r="H101" s="10">
        <v>0.95599999999999996</v>
      </c>
      <c r="I101" s="10">
        <v>83.5</v>
      </c>
    </row>
    <row r="102" spans="1:9" x14ac:dyDescent="0.3">
      <c r="A102" s="10" t="s">
        <v>139</v>
      </c>
      <c r="B102" s="10" t="s">
        <v>17</v>
      </c>
      <c r="C102" s="10">
        <v>2.79</v>
      </c>
      <c r="D102" s="10">
        <v>4</v>
      </c>
      <c r="E102" s="10">
        <v>5</v>
      </c>
      <c r="F102" s="10">
        <v>10</v>
      </c>
      <c r="G102" s="10">
        <v>12</v>
      </c>
      <c r="H102" s="10">
        <v>1</v>
      </c>
      <c r="I102" s="10">
        <v>84.9</v>
      </c>
    </row>
    <row r="103" spans="1:9" x14ac:dyDescent="0.3">
      <c r="A103" s="10" t="s">
        <v>140</v>
      </c>
      <c r="B103" s="10" t="s">
        <v>41</v>
      </c>
      <c r="C103" s="10">
        <v>3.29</v>
      </c>
      <c r="D103" s="10">
        <v>2</v>
      </c>
      <c r="E103" s="10">
        <v>2.88</v>
      </c>
      <c r="F103" s="10">
        <v>63</v>
      </c>
      <c r="G103" s="10">
        <v>5</v>
      </c>
      <c r="H103" s="10">
        <v>0.999</v>
      </c>
      <c r="I103" s="10">
        <v>71.8</v>
      </c>
    </row>
    <row r="104" spans="1:9" x14ac:dyDescent="0.3">
      <c r="A104" s="10" t="s">
        <v>141</v>
      </c>
      <c r="B104" s="10" t="s">
        <v>36</v>
      </c>
      <c r="C104" s="10">
        <v>3.33</v>
      </c>
      <c r="D104" s="10">
        <v>2</v>
      </c>
      <c r="E104" s="10">
        <v>4.97</v>
      </c>
      <c r="F104" s="10">
        <v>12</v>
      </c>
      <c r="G104" s="10">
        <v>14</v>
      </c>
      <c r="H104" s="10">
        <v>0.97799999999999998</v>
      </c>
      <c r="I104" s="10">
        <v>93</v>
      </c>
    </row>
    <row r="105" spans="1:9" x14ac:dyDescent="0.3">
      <c r="A105" s="10" t="s">
        <v>142</v>
      </c>
      <c r="B105" s="10" t="s">
        <v>41</v>
      </c>
      <c r="C105" s="10">
        <v>3.1</v>
      </c>
      <c r="D105" s="10">
        <v>6</v>
      </c>
      <c r="E105" s="10">
        <v>4.32</v>
      </c>
      <c r="F105" s="10">
        <v>25</v>
      </c>
      <c r="G105" s="10">
        <v>14</v>
      </c>
      <c r="H105" s="10">
        <v>0.92700000000000005</v>
      </c>
      <c r="I105" s="10">
        <v>83.4</v>
      </c>
    </row>
    <row r="106" spans="1:9" x14ac:dyDescent="0.3">
      <c r="A106" s="10" t="s">
        <v>143</v>
      </c>
      <c r="B106" s="10" t="s">
        <v>36</v>
      </c>
      <c r="C106" s="10">
        <v>3.42</v>
      </c>
      <c r="D106" s="10">
        <v>7</v>
      </c>
      <c r="E106" s="10">
        <v>3.78</v>
      </c>
      <c r="F106" s="10">
        <v>96</v>
      </c>
      <c r="G106" s="10">
        <v>11</v>
      </c>
      <c r="H106" s="10">
        <v>0.93300000000000005</v>
      </c>
      <c r="I106" s="10">
        <v>95.8</v>
      </c>
    </row>
    <row r="107" spans="1:9" x14ac:dyDescent="0.3">
      <c r="A107" s="10" t="s">
        <v>144</v>
      </c>
      <c r="B107" s="10" t="s">
        <v>39</v>
      </c>
      <c r="C107" s="10">
        <v>3.7</v>
      </c>
      <c r="D107" s="10">
        <v>4</v>
      </c>
      <c r="E107" s="10">
        <v>3.67</v>
      </c>
      <c r="F107" s="10">
        <v>66</v>
      </c>
      <c r="G107" s="10">
        <v>9</v>
      </c>
      <c r="H107" s="10">
        <v>0.92</v>
      </c>
      <c r="I107" s="10">
        <v>66.599999999999994</v>
      </c>
    </row>
    <row r="108" spans="1:9" x14ac:dyDescent="0.3">
      <c r="A108" s="10" t="s">
        <v>145</v>
      </c>
      <c r="B108" s="10" t="s">
        <v>39</v>
      </c>
      <c r="C108" s="10">
        <v>4.4400000000000004</v>
      </c>
      <c r="D108" s="10">
        <v>10</v>
      </c>
      <c r="E108" s="10">
        <v>4.63</v>
      </c>
      <c r="F108" s="10">
        <v>84</v>
      </c>
      <c r="G108" s="10">
        <v>1</v>
      </c>
      <c r="H108" s="10">
        <v>0.95799999999999996</v>
      </c>
      <c r="I108" s="10">
        <v>74.8</v>
      </c>
    </row>
    <row r="109" spans="1:9" x14ac:dyDescent="0.3">
      <c r="A109" s="10" t="s">
        <v>146</v>
      </c>
      <c r="B109" s="10" t="s">
        <v>36</v>
      </c>
      <c r="C109" s="10">
        <v>3.59</v>
      </c>
      <c r="D109" s="10">
        <v>6</v>
      </c>
      <c r="E109" s="10">
        <v>4.1399999999999997</v>
      </c>
      <c r="F109" s="10">
        <v>21</v>
      </c>
      <c r="G109" s="10">
        <v>7</v>
      </c>
      <c r="H109" s="10">
        <v>0.86799999999999999</v>
      </c>
      <c r="I109" s="10">
        <v>90.2</v>
      </c>
    </row>
    <row r="110" spans="1:9" x14ac:dyDescent="0.3">
      <c r="A110" s="10" t="s">
        <v>147</v>
      </c>
      <c r="B110" s="10" t="s">
        <v>39</v>
      </c>
      <c r="C110" s="10">
        <v>3.63</v>
      </c>
      <c r="D110" s="10">
        <v>9</v>
      </c>
      <c r="E110" s="10">
        <v>3.08</v>
      </c>
      <c r="F110" s="10">
        <v>83</v>
      </c>
      <c r="G110" s="10">
        <v>5</v>
      </c>
      <c r="H110" s="10">
        <v>0.93600000000000005</v>
      </c>
      <c r="I110" s="10">
        <v>77</v>
      </c>
    </row>
    <row r="111" spans="1:9" x14ac:dyDescent="0.3">
      <c r="A111" s="10" t="s">
        <v>148</v>
      </c>
      <c r="B111" s="10" t="s">
        <v>17</v>
      </c>
      <c r="C111" s="10">
        <v>3.46</v>
      </c>
      <c r="D111" s="10">
        <v>2</v>
      </c>
      <c r="E111" s="10">
        <v>4.22</v>
      </c>
      <c r="F111" s="10">
        <v>25</v>
      </c>
      <c r="G111" s="10">
        <v>5</v>
      </c>
      <c r="H111" s="10">
        <v>0.94099999999999995</v>
      </c>
      <c r="I111" s="10">
        <v>83.4</v>
      </c>
    </row>
    <row r="112" spans="1:9" x14ac:dyDescent="0.3">
      <c r="A112" s="10" t="s">
        <v>149</v>
      </c>
      <c r="B112" s="10" t="s">
        <v>53</v>
      </c>
      <c r="C112" s="10">
        <v>2.54</v>
      </c>
      <c r="D112" s="10">
        <v>6</v>
      </c>
      <c r="E112" s="10">
        <v>4.6900000000000004</v>
      </c>
      <c r="F112" s="10">
        <v>81</v>
      </c>
      <c r="G112" s="10">
        <v>14</v>
      </c>
      <c r="H112" s="10">
        <v>0.90400000000000003</v>
      </c>
      <c r="I112" s="10">
        <v>85</v>
      </c>
    </row>
    <row r="113" spans="1:9" x14ac:dyDescent="0.3">
      <c r="A113" s="10" t="s">
        <v>150</v>
      </c>
      <c r="B113" s="10" t="s">
        <v>53</v>
      </c>
      <c r="C113" s="10">
        <v>3.49</v>
      </c>
      <c r="D113" s="10">
        <v>4</v>
      </c>
      <c r="E113" s="10">
        <v>4.51</v>
      </c>
      <c r="F113" s="10">
        <v>85</v>
      </c>
      <c r="G113" s="10">
        <v>2</v>
      </c>
      <c r="H113" s="10">
        <v>0.97399999999999998</v>
      </c>
      <c r="I113" s="10">
        <v>86.6</v>
      </c>
    </row>
    <row r="114" spans="1:9" x14ac:dyDescent="0.3">
      <c r="A114" s="10" t="s">
        <v>151</v>
      </c>
      <c r="B114" s="10" t="s">
        <v>36</v>
      </c>
      <c r="C114" s="10">
        <v>3.53</v>
      </c>
      <c r="D114" s="10">
        <v>2</v>
      </c>
      <c r="E114" s="10">
        <v>3.62</v>
      </c>
      <c r="F114" s="10">
        <v>33</v>
      </c>
      <c r="G114" s="10">
        <v>11</v>
      </c>
      <c r="H114" s="10">
        <v>0.91600000000000004</v>
      </c>
      <c r="I114" s="10">
        <v>78.2</v>
      </c>
    </row>
    <row r="115" spans="1:9" x14ac:dyDescent="0.3">
      <c r="A115" s="10" t="s">
        <v>152</v>
      </c>
      <c r="B115" s="10" t="s">
        <v>17</v>
      </c>
      <c r="C115" s="10">
        <v>4.7300000000000004</v>
      </c>
      <c r="D115" s="10">
        <v>5</v>
      </c>
      <c r="E115" s="10">
        <v>3.19</v>
      </c>
      <c r="F115" s="10">
        <v>37</v>
      </c>
      <c r="G115" s="10">
        <v>3</v>
      </c>
      <c r="H115" s="10">
        <v>0.95799999999999996</v>
      </c>
      <c r="I115" s="10">
        <v>86.5</v>
      </c>
    </row>
    <row r="116" spans="1:9" x14ac:dyDescent="0.3">
      <c r="A116" s="10" t="s">
        <v>153</v>
      </c>
      <c r="B116" s="10" t="s">
        <v>36</v>
      </c>
      <c r="C116" s="10">
        <v>3.4</v>
      </c>
      <c r="D116" s="10">
        <v>6</v>
      </c>
      <c r="E116" s="10">
        <v>3.8</v>
      </c>
      <c r="F116" s="10">
        <v>17</v>
      </c>
      <c r="G116" s="10">
        <v>7</v>
      </c>
      <c r="H116" s="10">
        <v>1</v>
      </c>
      <c r="I116" s="10">
        <v>77.2</v>
      </c>
    </row>
    <row r="117" spans="1:9" x14ac:dyDescent="0.3">
      <c r="A117" s="10" t="s">
        <v>154</v>
      </c>
      <c r="B117" s="10" t="s">
        <v>39</v>
      </c>
      <c r="C117" s="10">
        <v>3.65</v>
      </c>
      <c r="D117" s="10">
        <v>8</v>
      </c>
      <c r="E117" s="10">
        <v>5</v>
      </c>
      <c r="F117" s="10">
        <v>45</v>
      </c>
      <c r="G117" s="10">
        <v>6</v>
      </c>
      <c r="H117" s="10">
        <v>0.90200000000000002</v>
      </c>
      <c r="I117" s="10">
        <v>91.7</v>
      </c>
    </row>
    <row r="118" spans="1:9" x14ac:dyDescent="0.3">
      <c r="A118" s="10" t="s">
        <v>155</v>
      </c>
      <c r="B118" s="10" t="s">
        <v>36</v>
      </c>
      <c r="C118" s="10">
        <v>3.48</v>
      </c>
      <c r="D118" s="10">
        <v>2</v>
      </c>
      <c r="E118" s="10">
        <v>3.07</v>
      </c>
      <c r="F118" s="10">
        <v>99</v>
      </c>
      <c r="G118" s="10">
        <v>12</v>
      </c>
      <c r="H118" s="10">
        <v>0.94599999999999995</v>
      </c>
      <c r="I118" s="10">
        <v>83.9</v>
      </c>
    </row>
    <row r="119" spans="1:9" x14ac:dyDescent="0.3">
      <c r="A119" s="10" t="s">
        <v>156</v>
      </c>
      <c r="B119" s="10" t="s">
        <v>53</v>
      </c>
      <c r="C119" s="10">
        <v>2.92</v>
      </c>
      <c r="D119" s="10">
        <v>4</v>
      </c>
      <c r="E119" s="10">
        <v>3.49</v>
      </c>
      <c r="F119" s="10">
        <v>17</v>
      </c>
      <c r="G119" s="10">
        <v>2</v>
      </c>
      <c r="H119" s="10">
        <v>0.93799999999999994</v>
      </c>
      <c r="I119" s="10">
        <v>86.6</v>
      </c>
    </row>
    <row r="120" spans="1:9" x14ac:dyDescent="0.3">
      <c r="A120" s="10" t="s">
        <v>157</v>
      </c>
      <c r="B120" s="10" t="s">
        <v>36</v>
      </c>
      <c r="C120" s="10">
        <v>4.07</v>
      </c>
      <c r="D120" s="10">
        <v>3</v>
      </c>
      <c r="E120" s="10">
        <v>4.24</v>
      </c>
      <c r="F120" s="10">
        <v>67</v>
      </c>
      <c r="G120" s="10">
        <v>6</v>
      </c>
      <c r="H120" s="10">
        <v>0.93200000000000005</v>
      </c>
      <c r="I120" s="10">
        <v>100</v>
      </c>
    </row>
    <row r="121" spans="1:9" x14ac:dyDescent="0.3">
      <c r="A121" s="10" t="s">
        <v>158</v>
      </c>
      <c r="B121" s="10" t="s">
        <v>41</v>
      </c>
      <c r="C121" s="10">
        <v>3.88</v>
      </c>
      <c r="D121" s="10">
        <v>10</v>
      </c>
      <c r="E121" s="10">
        <v>3.93</v>
      </c>
      <c r="F121" s="10">
        <v>69</v>
      </c>
      <c r="G121" s="10">
        <v>2</v>
      </c>
      <c r="H121" s="10">
        <v>0.97299999999999998</v>
      </c>
      <c r="I121" s="10">
        <v>73.900000000000006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5"/>
  <sheetViews>
    <sheetView workbookViewId="0">
      <selection sqref="A1:B5"/>
    </sheetView>
  </sheetViews>
  <sheetFormatPr defaultColWidth="14.44140625" defaultRowHeight="15" customHeight="1" x14ac:dyDescent="0.3"/>
  <cols>
    <col min="1" max="1" width="8.6640625" customWidth="1"/>
    <col min="2" max="2" width="46.88671875" customWidth="1"/>
  </cols>
  <sheetData>
    <row r="1" spans="1:2" x14ac:dyDescent="0.3">
      <c r="A1" s="12" t="s">
        <v>0</v>
      </c>
      <c r="B1" s="12" t="s">
        <v>159</v>
      </c>
    </row>
    <row r="2" spans="1:2" x14ac:dyDescent="0.3">
      <c r="A2" s="13" t="s">
        <v>2</v>
      </c>
      <c r="B2" s="14" t="s">
        <v>160</v>
      </c>
    </row>
    <row r="3" spans="1:2" x14ac:dyDescent="0.3">
      <c r="A3" s="13" t="s">
        <v>4</v>
      </c>
      <c r="B3" s="14" t="s">
        <v>161</v>
      </c>
    </row>
    <row r="4" spans="1:2" x14ac:dyDescent="0.3">
      <c r="A4" s="13" t="s">
        <v>6</v>
      </c>
      <c r="B4" s="14" t="s">
        <v>162</v>
      </c>
    </row>
    <row r="5" spans="1:2" x14ac:dyDescent="0.3">
      <c r="A5" s="13" t="s">
        <v>8</v>
      </c>
      <c r="B5" s="14" t="s">
        <v>163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4816-637F-42A0-A392-7F2AB286B918}">
  <dimension ref="A3:L31"/>
  <sheetViews>
    <sheetView tabSelected="1" workbookViewId="0">
      <selection activeCell="F9" sqref="F9"/>
    </sheetView>
  </sheetViews>
  <sheetFormatPr defaultRowHeight="14.4" x14ac:dyDescent="0.3"/>
  <cols>
    <col min="1" max="1" width="10.77734375" bestFit="1" customWidth="1"/>
    <col min="2" max="2" width="11.5546875" bestFit="1" customWidth="1"/>
    <col min="4" max="4" width="13.77734375" bestFit="1" customWidth="1"/>
    <col min="5" max="5" width="22.109375" bestFit="1" customWidth="1"/>
    <col min="7" max="7" width="14.77734375" bestFit="1" customWidth="1"/>
    <col min="8" max="8" width="15.5546875" bestFit="1" customWidth="1"/>
    <col min="9" max="12" width="12" bestFit="1" customWidth="1"/>
  </cols>
  <sheetData>
    <row r="3" spans="1:12" x14ac:dyDescent="0.3">
      <c r="A3" s="28" t="s">
        <v>394</v>
      </c>
      <c r="B3" t="s">
        <v>357</v>
      </c>
      <c r="D3" s="28" t="s">
        <v>167</v>
      </c>
      <c r="E3" t="s">
        <v>358</v>
      </c>
      <c r="G3" s="28" t="s">
        <v>366</v>
      </c>
      <c r="H3" s="28" t="s">
        <v>322</v>
      </c>
    </row>
    <row r="4" spans="1:12" x14ac:dyDescent="0.3">
      <c r="A4" s="29" t="s">
        <v>189</v>
      </c>
      <c r="B4" s="30">
        <v>12488000</v>
      </c>
      <c r="D4" s="29" t="s">
        <v>359</v>
      </c>
      <c r="E4" s="30">
        <v>2002</v>
      </c>
      <c r="G4" s="28" t="s">
        <v>393</v>
      </c>
      <c r="H4" t="s">
        <v>186</v>
      </c>
      <c r="I4" t="s">
        <v>179</v>
      </c>
      <c r="J4" t="s">
        <v>197</v>
      </c>
      <c r="K4" t="s">
        <v>192</v>
      </c>
      <c r="L4" t="s">
        <v>321</v>
      </c>
    </row>
    <row r="5" spans="1:12" x14ac:dyDescent="0.3">
      <c r="A5" s="29" t="s">
        <v>193</v>
      </c>
      <c r="B5" s="30">
        <v>13578000</v>
      </c>
      <c r="D5" s="29" t="s">
        <v>360</v>
      </c>
      <c r="E5" s="30">
        <v>2730</v>
      </c>
      <c r="G5" s="29" t="s">
        <v>367</v>
      </c>
      <c r="H5" s="30">
        <v>451000</v>
      </c>
      <c r="I5" s="30">
        <v>377000</v>
      </c>
      <c r="J5" s="30"/>
      <c r="K5" s="30"/>
      <c r="L5" s="30">
        <v>401666.66666666669</v>
      </c>
    </row>
    <row r="6" spans="1:12" x14ac:dyDescent="0.3">
      <c r="A6" s="29" t="s">
        <v>180</v>
      </c>
      <c r="B6" s="30">
        <v>11013000</v>
      </c>
      <c r="D6" s="29" t="s">
        <v>361</v>
      </c>
      <c r="E6" s="30">
        <v>3715</v>
      </c>
      <c r="G6" s="29" t="s">
        <v>368</v>
      </c>
      <c r="H6" s="30"/>
      <c r="I6" s="30"/>
      <c r="J6" s="30">
        <v>288000</v>
      </c>
      <c r="K6" s="30">
        <v>597500</v>
      </c>
      <c r="L6" s="30">
        <v>494333.33333333331</v>
      </c>
    </row>
    <row r="7" spans="1:12" x14ac:dyDescent="0.3">
      <c r="A7" s="29" t="s">
        <v>213</v>
      </c>
      <c r="B7" s="30">
        <v>12813000</v>
      </c>
      <c r="D7" s="29" t="s">
        <v>362</v>
      </c>
      <c r="E7" s="30">
        <v>2250</v>
      </c>
      <c r="G7" s="29" t="s">
        <v>369</v>
      </c>
      <c r="H7" s="30">
        <v>334000</v>
      </c>
      <c r="I7" s="30">
        <v>250000</v>
      </c>
      <c r="J7" s="30"/>
      <c r="K7" s="30"/>
      <c r="L7" s="30">
        <v>292000</v>
      </c>
    </row>
    <row r="8" spans="1:12" x14ac:dyDescent="0.3">
      <c r="A8" s="29" t="s">
        <v>183</v>
      </c>
      <c r="B8" s="30">
        <v>14124000</v>
      </c>
      <c r="D8" s="29" t="s">
        <v>363</v>
      </c>
      <c r="E8" s="30">
        <v>1019</v>
      </c>
      <c r="G8" s="29" t="s">
        <v>370</v>
      </c>
      <c r="H8" s="30"/>
      <c r="I8" s="30">
        <v>581000</v>
      </c>
      <c r="J8" s="30">
        <v>430000</v>
      </c>
      <c r="K8" s="30">
        <v>465000</v>
      </c>
      <c r="L8" s="30">
        <v>492000</v>
      </c>
    </row>
    <row r="9" spans="1:12" x14ac:dyDescent="0.3">
      <c r="A9" s="29" t="s">
        <v>355</v>
      </c>
      <c r="B9" s="30"/>
      <c r="D9" s="29" t="s">
        <v>364</v>
      </c>
      <c r="E9" s="30">
        <v>252</v>
      </c>
      <c r="G9" s="29" t="s">
        <v>371</v>
      </c>
      <c r="H9" s="30">
        <v>364000</v>
      </c>
      <c r="I9" s="30">
        <v>395000</v>
      </c>
      <c r="J9" s="30"/>
      <c r="K9" s="30">
        <v>719000</v>
      </c>
      <c r="L9" s="30">
        <v>549250</v>
      </c>
    </row>
    <row r="10" spans="1:12" x14ac:dyDescent="0.3">
      <c r="A10" s="29" t="s">
        <v>321</v>
      </c>
      <c r="B10" s="30">
        <v>64016000</v>
      </c>
      <c r="D10" s="29" t="s">
        <v>365</v>
      </c>
      <c r="E10" s="30">
        <v>141</v>
      </c>
      <c r="G10" s="29" t="s">
        <v>372</v>
      </c>
      <c r="H10" s="30">
        <v>496000</v>
      </c>
      <c r="I10" s="30">
        <v>644500</v>
      </c>
      <c r="J10" s="30">
        <v>613000</v>
      </c>
      <c r="K10" s="30"/>
      <c r="L10" s="30">
        <v>599500</v>
      </c>
    </row>
    <row r="11" spans="1:12" x14ac:dyDescent="0.3">
      <c r="D11" s="29" t="s">
        <v>321</v>
      </c>
      <c r="E11" s="30">
        <v>12109</v>
      </c>
      <c r="G11" s="29" t="s">
        <v>373</v>
      </c>
      <c r="H11" s="30">
        <v>409500</v>
      </c>
      <c r="I11" s="30">
        <v>471000</v>
      </c>
      <c r="J11" s="30">
        <v>518000</v>
      </c>
      <c r="K11" s="30"/>
      <c r="L11" s="30">
        <v>465200</v>
      </c>
    </row>
    <row r="12" spans="1:12" x14ac:dyDescent="0.3">
      <c r="G12" s="29" t="s">
        <v>374</v>
      </c>
      <c r="H12" s="30">
        <v>522800</v>
      </c>
      <c r="I12" s="30">
        <v>588000</v>
      </c>
      <c r="J12" s="30">
        <v>425400</v>
      </c>
      <c r="K12" s="30"/>
      <c r="L12" s="30">
        <v>484454.54545454547</v>
      </c>
    </row>
    <row r="13" spans="1:12" x14ac:dyDescent="0.3">
      <c r="G13" s="29" t="s">
        <v>375</v>
      </c>
      <c r="H13" s="30">
        <v>395666.66666666669</v>
      </c>
      <c r="I13" s="30">
        <v>517666.66666666669</v>
      </c>
      <c r="J13" s="30">
        <v>392000</v>
      </c>
      <c r="K13" s="30">
        <v>321000</v>
      </c>
      <c r="L13" s="30">
        <v>431625</v>
      </c>
    </row>
    <row r="14" spans="1:12" x14ac:dyDescent="0.3">
      <c r="G14" s="29" t="s">
        <v>376</v>
      </c>
      <c r="H14" s="30">
        <v>556000</v>
      </c>
      <c r="I14" s="30">
        <v>737000</v>
      </c>
      <c r="J14" s="30"/>
      <c r="K14" s="30">
        <v>469333.33333333331</v>
      </c>
      <c r="L14" s="30">
        <v>540200</v>
      </c>
    </row>
    <row r="15" spans="1:12" x14ac:dyDescent="0.3">
      <c r="G15" s="29" t="s">
        <v>377</v>
      </c>
      <c r="H15" s="30">
        <v>404500</v>
      </c>
      <c r="I15" s="30">
        <v>288000</v>
      </c>
      <c r="J15" s="30"/>
      <c r="K15" s="30">
        <v>428000</v>
      </c>
      <c r="L15" s="30">
        <v>390600</v>
      </c>
    </row>
    <row r="16" spans="1:12" x14ac:dyDescent="0.3">
      <c r="G16" s="29" t="s">
        <v>378</v>
      </c>
      <c r="H16" s="30">
        <v>474000</v>
      </c>
      <c r="I16" s="30">
        <v>384500</v>
      </c>
      <c r="J16" s="30">
        <v>478500</v>
      </c>
      <c r="K16" s="30">
        <v>393666.66666666669</v>
      </c>
      <c r="L16" s="30">
        <v>440500</v>
      </c>
    </row>
    <row r="17" spans="7:12" x14ac:dyDescent="0.3">
      <c r="G17" s="29" t="s">
        <v>379</v>
      </c>
      <c r="H17" s="30">
        <v>483000</v>
      </c>
      <c r="I17" s="30">
        <v>606500</v>
      </c>
      <c r="J17" s="30">
        <v>463800</v>
      </c>
      <c r="K17" s="30">
        <v>554000</v>
      </c>
      <c r="L17" s="30">
        <v>503181.81818181818</v>
      </c>
    </row>
    <row r="18" spans="7:12" x14ac:dyDescent="0.3">
      <c r="G18" s="29" t="s">
        <v>380</v>
      </c>
      <c r="H18" s="30">
        <v>610000</v>
      </c>
      <c r="I18" s="30">
        <v>570750</v>
      </c>
      <c r="J18" s="30">
        <v>720000</v>
      </c>
      <c r="K18" s="30"/>
      <c r="L18" s="30">
        <v>604125</v>
      </c>
    </row>
    <row r="19" spans="7:12" x14ac:dyDescent="0.3">
      <c r="G19" s="29" t="s">
        <v>381</v>
      </c>
      <c r="H19" s="30">
        <v>532500</v>
      </c>
      <c r="I19" s="30">
        <v>575000</v>
      </c>
      <c r="J19" s="30">
        <v>539000</v>
      </c>
      <c r="K19" s="30">
        <v>483000</v>
      </c>
      <c r="L19" s="30">
        <v>524166.66666666669</v>
      </c>
    </row>
    <row r="20" spans="7:12" x14ac:dyDescent="0.3">
      <c r="G20" s="29" t="s">
        <v>382</v>
      </c>
      <c r="H20" s="30"/>
      <c r="I20" s="30">
        <v>512400</v>
      </c>
      <c r="J20" s="30"/>
      <c r="K20" s="30">
        <v>653333.33333333337</v>
      </c>
      <c r="L20" s="30">
        <v>565250</v>
      </c>
    </row>
    <row r="21" spans="7:12" x14ac:dyDescent="0.3">
      <c r="G21" s="29" t="s">
        <v>383</v>
      </c>
      <c r="H21" s="30">
        <v>476666.66666666669</v>
      </c>
      <c r="I21" s="30"/>
      <c r="J21" s="30">
        <v>352000</v>
      </c>
      <c r="K21" s="30">
        <v>495000</v>
      </c>
      <c r="L21" s="30">
        <v>438166.66666666669</v>
      </c>
    </row>
    <row r="22" spans="7:12" x14ac:dyDescent="0.3">
      <c r="G22" s="29" t="s">
        <v>384</v>
      </c>
      <c r="H22" s="30">
        <v>317000</v>
      </c>
      <c r="I22" s="30"/>
      <c r="J22" s="30">
        <v>487000</v>
      </c>
      <c r="K22" s="30">
        <v>473333.33333333331</v>
      </c>
      <c r="L22" s="30">
        <v>451833.33333333331</v>
      </c>
    </row>
    <row r="23" spans="7:12" x14ac:dyDescent="0.3">
      <c r="G23" s="29" t="s">
        <v>385</v>
      </c>
      <c r="H23" s="30"/>
      <c r="I23" s="30">
        <v>515000</v>
      </c>
      <c r="J23" s="30"/>
      <c r="K23" s="30"/>
      <c r="L23" s="30">
        <v>515000</v>
      </c>
    </row>
    <row r="24" spans="7:12" x14ac:dyDescent="0.3">
      <c r="G24" s="29" t="s">
        <v>386</v>
      </c>
      <c r="H24" s="30">
        <v>545000</v>
      </c>
      <c r="I24" s="30">
        <v>374000</v>
      </c>
      <c r="J24" s="30">
        <v>472000</v>
      </c>
      <c r="K24" s="30"/>
      <c r="L24" s="30">
        <v>484000</v>
      </c>
    </row>
    <row r="25" spans="7:12" x14ac:dyDescent="0.3">
      <c r="G25" s="29" t="s">
        <v>387</v>
      </c>
      <c r="H25" s="30">
        <v>474000</v>
      </c>
      <c r="I25" s="30"/>
      <c r="J25" s="30">
        <v>646000</v>
      </c>
      <c r="K25" s="30"/>
      <c r="L25" s="30">
        <v>517000</v>
      </c>
    </row>
    <row r="26" spans="7:12" x14ac:dyDescent="0.3">
      <c r="G26" s="29" t="s">
        <v>388</v>
      </c>
      <c r="H26" s="30"/>
      <c r="I26" s="30">
        <v>443666.66666666669</v>
      </c>
      <c r="J26" s="30"/>
      <c r="K26" s="30">
        <v>514000</v>
      </c>
      <c r="L26" s="30">
        <v>461250</v>
      </c>
    </row>
    <row r="27" spans="7:12" x14ac:dyDescent="0.3">
      <c r="G27" s="29" t="s">
        <v>389</v>
      </c>
      <c r="H27" s="30"/>
      <c r="I27" s="30">
        <v>422000</v>
      </c>
      <c r="J27" s="30"/>
      <c r="K27" s="30"/>
      <c r="L27" s="30">
        <v>422000</v>
      </c>
    </row>
    <row r="28" spans="7:12" x14ac:dyDescent="0.3">
      <c r="G28" s="29" t="s">
        <v>390</v>
      </c>
      <c r="H28" s="30"/>
      <c r="I28" s="30"/>
      <c r="J28" s="30"/>
      <c r="K28" s="30">
        <v>533333.33333333337</v>
      </c>
      <c r="L28" s="30">
        <v>533333.33333333337</v>
      </c>
    </row>
    <row r="29" spans="7:12" x14ac:dyDescent="0.3">
      <c r="G29" s="29" t="s">
        <v>391</v>
      </c>
      <c r="H29" s="30"/>
      <c r="I29" s="30">
        <v>531000</v>
      </c>
      <c r="J29" s="30">
        <v>722000</v>
      </c>
      <c r="K29" s="30"/>
      <c r="L29" s="30">
        <v>626500</v>
      </c>
    </row>
    <row r="30" spans="7:12" x14ac:dyDescent="0.3">
      <c r="G30" s="29" t="s">
        <v>392</v>
      </c>
      <c r="H30" s="30"/>
      <c r="I30" s="30"/>
      <c r="J30" s="30">
        <v>611000</v>
      </c>
      <c r="K30" s="30"/>
      <c r="L30" s="30">
        <v>611000</v>
      </c>
    </row>
    <row r="31" spans="7:12" x14ac:dyDescent="0.3">
      <c r="G31" s="29" t="s">
        <v>321</v>
      </c>
      <c r="H31" s="30">
        <v>477162.16216216219</v>
      </c>
      <c r="I31" s="30">
        <v>499457.14285714284</v>
      </c>
      <c r="J31" s="30">
        <v>483566.66666666669</v>
      </c>
      <c r="K31" s="30">
        <v>513321.42857142858</v>
      </c>
      <c r="L31" s="30">
        <v>492430.76923076925</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31"/>
  <sheetViews>
    <sheetView workbookViewId="0">
      <selection activeCell="D1" sqref="D1:D1048576"/>
    </sheetView>
  </sheetViews>
  <sheetFormatPr defaultColWidth="14.44140625" defaultRowHeight="15" customHeight="1" x14ac:dyDescent="0.3"/>
  <cols>
    <col min="1" max="1" width="9.5546875" customWidth="1"/>
    <col min="2" max="2" width="13.88671875" customWidth="1"/>
    <col min="3" max="3" width="10.5546875" customWidth="1"/>
    <col min="4" max="4" width="7.5546875" customWidth="1"/>
    <col min="5" max="5" width="10" customWidth="1"/>
    <col min="6" max="6" width="10.6640625" customWidth="1"/>
    <col min="7" max="7" width="12" customWidth="1"/>
    <col min="8" max="8" width="10" customWidth="1"/>
    <col min="9" max="9" width="16" customWidth="1"/>
    <col min="10" max="10" width="14.109375" customWidth="1"/>
    <col min="11" max="11" width="14.33203125" customWidth="1"/>
    <col min="12" max="12" width="8.33203125" customWidth="1"/>
    <col min="13" max="13" width="14.33203125" customWidth="1"/>
    <col min="14" max="14" width="10.88671875" customWidth="1"/>
  </cols>
  <sheetData>
    <row r="1" spans="1:14" x14ac:dyDescent="0.3">
      <c r="A1" s="15" t="s">
        <v>164</v>
      </c>
      <c r="B1" s="15" t="s">
        <v>165</v>
      </c>
      <c r="C1" s="15" t="s">
        <v>166</v>
      </c>
      <c r="D1" s="15" t="s">
        <v>167</v>
      </c>
      <c r="E1" s="15" t="s">
        <v>168</v>
      </c>
      <c r="F1" s="15" t="s">
        <v>169</v>
      </c>
      <c r="G1" s="15" t="s">
        <v>170</v>
      </c>
      <c r="H1" s="15" t="s">
        <v>171</v>
      </c>
      <c r="I1" s="15" t="s">
        <v>172</v>
      </c>
      <c r="J1" s="15" t="s">
        <v>173</v>
      </c>
      <c r="K1" s="15" t="s">
        <v>174</v>
      </c>
      <c r="L1" s="15" t="s">
        <v>175</v>
      </c>
      <c r="M1" s="15" t="s">
        <v>176</v>
      </c>
      <c r="N1" s="15" t="s">
        <v>177</v>
      </c>
    </row>
    <row r="2" spans="1:14" x14ac:dyDescent="0.3">
      <c r="A2" s="16" t="s">
        <v>178</v>
      </c>
      <c r="B2" s="16" t="s">
        <v>179</v>
      </c>
      <c r="C2" s="16" t="s">
        <v>180</v>
      </c>
      <c r="D2" s="17">
        <v>575000</v>
      </c>
      <c r="E2" s="17">
        <v>4</v>
      </c>
      <c r="F2" s="17">
        <v>1</v>
      </c>
      <c r="G2" s="17">
        <v>2450</v>
      </c>
      <c r="H2" s="17">
        <v>2021</v>
      </c>
      <c r="I2" s="17">
        <v>126</v>
      </c>
      <c r="J2" s="16" t="s">
        <v>181</v>
      </c>
      <c r="K2" s="17">
        <v>234.69</v>
      </c>
      <c r="L2" s="17">
        <v>0.312</v>
      </c>
      <c r="M2" s="17">
        <v>2</v>
      </c>
      <c r="N2" s="18">
        <v>45166</v>
      </c>
    </row>
    <row r="3" spans="1:14" x14ac:dyDescent="0.3">
      <c r="A3" s="16" t="s">
        <v>182</v>
      </c>
      <c r="B3" s="16" t="s">
        <v>179</v>
      </c>
      <c r="C3" s="16" t="s">
        <v>183</v>
      </c>
      <c r="D3" s="17">
        <v>479000</v>
      </c>
      <c r="E3" s="17">
        <v>2</v>
      </c>
      <c r="F3" s="17">
        <v>2.5</v>
      </c>
      <c r="G3" s="17">
        <v>1860</v>
      </c>
      <c r="H3" s="17">
        <v>1984</v>
      </c>
      <c r="I3" s="17">
        <v>139</v>
      </c>
      <c r="J3" s="16" t="s">
        <v>184</v>
      </c>
      <c r="K3" s="17">
        <v>257.52999999999997</v>
      </c>
      <c r="L3" s="17">
        <v>0.53200000000000003</v>
      </c>
      <c r="M3" s="17">
        <v>2</v>
      </c>
      <c r="N3" s="18">
        <v>45153</v>
      </c>
    </row>
    <row r="4" spans="1:14" x14ac:dyDescent="0.3">
      <c r="A4" s="16" t="s">
        <v>185</v>
      </c>
      <c r="B4" s="16" t="s">
        <v>186</v>
      </c>
      <c r="C4" s="16" t="s">
        <v>180</v>
      </c>
      <c r="D4" s="17">
        <v>597000</v>
      </c>
      <c r="E4" s="17">
        <v>3</v>
      </c>
      <c r="F4" s="17">
        <v>2.5</v>
      </c>
      <c r="G4" s="17">
        <v>1710</v>
      </c>
      <c r="H4" s="17">
        <v>2016</v>
      </c>
      <c r="I4" s="17">
        <v>100</v>
      </c>
      <c r="J4" s="16" t="s">
        <v>187</v>
      </c>
      <c r="K4" s="17">
        <v>349.12</v>
      </c>
      <c r="L4" s="17">
        <v>0.13400000000000001</v>
      </c>
      <c r="M4" s="17">
        <v>1</v>
      </c>
      <c r="N4" s="18">
        <v>45192</v>
      </c>
    </row>
    <row r="5" spans="1:14" x14ac:dyDescent="0.3">
      <c r="A5" s="16" t="s">
        <v>188</v>
      </c>
      <c r="B5" s="16" t="s">
        <v>179</v>
      </c>
      <c r="C5" s="16" t="s">
        <v>189</v>
      </c>
      <c r="D5" s="17">
        <v>728000</v>
      </c>
      <c r="E5" s="17">
        <v>3</v>
      </c>
      <c r="F5" s="17">
        <v>2.5</v>
      </c>
      <c r="G5" s="17">
        <v>2350</v>
      </c>
      <c r="H5" s="17">
        <v>1991</v>
      </c>
      <c r="I5" s="17">
        <v>77</v>
      </c>
      <c r="J5" s="16" t="s">
        <v>181</v>
      </c>
      <c r="K5" s="17">
        <v>309.79000000000002</v>
      </c>
      <c r="L5" s="17">
        <v>0.1</v>
      </c>
      <c r="M5" s="17">
        <v>0</v>
      </c>
      <c r="N5" s="18">
        <v>45215</v>
      </c>
    </row>
    <row r="6" spans="1:14" x14ac:dyDescent="0.3">
      <c r="A6" s="16" t="s">
        <v>190</v>
      </c>
      <c r="B6" s="16" t="s">
        <v>186</v>
      </c>
      <c r="C6" s="16" t="s">
        <v>180</v>
      </c>
      <c r="D6" s="17">
        <v>465000</v>
      </c>
      <c r="E6" s="17">
        <v>4</v>
      </c>
      <c r="F6" s="17">
        <v>3</v>
      </c>
      <c r="G6" s="17">
        <v>2350</v>
      </c>
      <c r="H6" s="17">
        <v>1983</v>
      </c>
      <c r="I6" s="17">
        <v>3</v>
      </c>
      <c r="J6" s="16" t="s">
        <v>187</v>
      </c>
      <c r="K6" s="17">
        <v>197.87</v>
      </c>
      <c r="L6" s="17">
        <v>0.1</v>
      </c>
      <c r="M6" s="17">
        <v>1</v>
      </c>
      <c r="N6" s="18">
        <v>45289</v>
      </c>
    </row>
    <row r="7" spans="1:14" x14ac:dyDescent="0.3">
      <c r="A7" s="16" t="s">
        <v>191</v>
      </c>
      <c r="B7" s="16" t="s">
        <v>192</v>
      </c>
      <c r="C7" s="16" t="s">
        <v>193</v>
      </c>
      <c r="D7" s="17">
        <v>465000</v>
      </c>
      <c r="E7" s="17">
        <v>2</v>
      </c>
      <c r="F7" s="17">
        <v>3.5</v>
      </c>
      <c r="G7" s="17">
        <v>1900</v>
      </c>
      <c r="H7" s="17">
        <v>1995</v>
      </c>
      <c r="I7" s="17">
        <v>161</v>
      </c>
      <c r="J7" s="16" t="s">
        <v>181</v>
      </c>
      <c r="K7" s="17">
        <v>244.74</v>
      </c>
      <c r="L7" s="17">
        <v>0.47399999999999998</v>
      </c>
      <c r="M7" s="17">
        <v>3</v>
      </c>
      <c r="N7" s="18">
        <v>45131</v>
      </c>
    </row>
    <row r="8" spans="1:14" x14ac:dyDescent="0.3">
      <c r="A8" s="16" t="s">
        <v>194</v>
      </c>
      <c r="B8" s="16" t="s">
        <v>179</v>
      </c>
      <c r="C8" s="16" t="s">
        <v>193</v>
      </c>
      <c r="D8" s="17">
        <v>737000</v>
      </c>
      <c r="E8" s="17">
        <v>4</v>
      </c>
      <c r="F8" s="17">
        <v>2.5</v>
      </c>
      <c r="G8" s="17">
        <v>1920</v>
      </c>
      <c r="H8" s="17">
        <v>1997</v>
      </c>
      <c r="I8" s="17">
        <v>134</v>
      </c>
      <c r="J8" s="16" t="s">
        <v>184</v>
      </c>
      <c r="K8" s="17">
        <v>383.85</v>
      </c>
      <c r="L8" s="17">
        <v>0.34799999999999998</v>
      </c>
      <c r="M8" s="17">
        <v>2</v>
      </c>
      <c r="N8" s="18">
        <v>45158</v>
      </c>
    </row>
    <row r="9" spans="1:14" x14ac:dyDescent="0.3">
      <c r="A9" s="16" t="s">
        <v>195</v>
      </c>
      <c r="B9" s="16" t="s">
        <v>179</v>
      </c>
      <c r="C9" s="16" t="s">
        <v>183</v>
      </c>
      <c r="D9" s="17">
        <v>615000</v>
      </c>
      <c r="E9" s="17">
        <v>3</v>
      </c>
      <c r="F9" s="17">
        <v>2</v>
      </c>
      <c r="G9" s="17">
        <v>2340</v>
      </c>
      <c r="H9" s="17">
        <v>1992</v>
      </c>
      <c r="I9" s="17">
        <v>178</v>
      </c>
      <c r="J9" s="16" t="s">
        <v>181</v>
      </c>
      <c r="K9" s="17">
        <v>262.82</v>
      </c>
      <c r="L9" s="17">
        <v>0.24199999999999999</v>
      </c>
      <c r="M9" s="17">
        <v>2</v>
      </c>
      <c r="N9" s="18">
        <v>45114</v>
      </c>
    </row>
    <row r="10" spans="1:14" x14ac:dyDescent="0.3">
      <c r="A10" s="16" t="s">
        <v>196</v>
      </c>
      <c r="B10" s="16" t="s">
        <v>197</v>
      </c>
      <c r="C10" s="16" t="s">
        <v>189</v>
      </c>
      <c r="D10" s="17">
        <v>430000</v>
      </c>
      <c r="E10" s="17">
        <v>5</v>
      </c>
      <c r="F10" s="17">
        <v>3</v>
      </c>
      <c r="G10" s="17">
        <v>1330</v>
      </c>
      <c r="H10" s="17">
        <v>1983</v>
      </c>
      <c r="I10" s="17">
        <v>10</v>
      </c>
      <c r="J10" s="16" t="s">
        <v>184</v>
      </c>
      <c r="K10" s="17">
        <v>323.31</v>
      </c>
      <c r="L10" s="17">
        <v>0.29199999999999998</v>
      </c>
      <c r="M10" s="17">
        <v>2</v>
      </c>
      <c r="N10" s="18">
        <v>45282</v>
      </c>
    </row>
    <row r="11" spans="1:14" x14ac:dyDescent="0.3">
      <c r="A11" s="16" t="s">
        <v>198</v>
      </c>
      <c r="B11" s="16" t="s">
        <v>179</v>
      </c>
      <c r="C11" s="16" t="s">
        <v>180</v>
      </c>
      <c r="D11" s="17">
        <v>581000</v>
      </c>
      <c r="E11" s="17">
        <v>2</v>
      </c>
      <c r="F11" s="17">
        <v>2</v>
      </c>
      <c r="G11" s="17">
        <v>1360</v>
      </c>
      <c r="H11" s="17">
        <v>1993</v>
      </c>
      <c r="I11" s="17">
        <v>5</v>
      </c>
      <c r="J11" s="16" t="s">
        <v>184</v>
      </c>
      <c r="K11" s="17">
        <v>427.21</v>
      </c>
      <c r="L11" s="17">
        <v>0.1</v>
      </c>
      <c r="M11" s="17">
        <v>2</v>
      </c>
      <c r="N11" s="18">
        <v>45287</v>
      </c>
    </row>
    <row r="12" spans="1:14" x14ac:dyDescent="0.3">
      <c r="A12" s="16" t="s">
        <v>199</v>
      </c>
      <c r="B12" s="16" t="s">
        <v>197</v>
      </c>
      <c r="C12" s="16" t="s">
        <v>193</v>
      </c>
      <c r="D12" s="17">
        <v>430000</v>
      </c>
      <c r="E12" s="17">
        <v>3</v>
      </c>
      <c r="F12" s="17">
        <v>2.5</v>
      </c>
      <c r="G12" s="17">
        <v>1770</v>
      </c>
      <c r="H12" s="17">
        <v>1971</v>
      </c>
      <c r="I12" s="17">
        <v>151</v>
      </c>
      <c r="J12" s="16" t="s">
        <v>184</v>
      </c>
      <c r="K12" s="17">
        <v>242.94</v>
      </c>
      <c r="L12" s="17">
        <v>0.61699999999999999</v>
      </c>
      <c r="M12" s="17">
        <v>1</v>
      </c>
      <c r="N12" s="18">
        <v>45141</v>
      </c>
    </row>
    <row r="13" spans="1:14" x14ac:dyDescent="0.3">
      <c r="A13" s="16" t="s">
        <v>200</v>
      </c>
      <c r="B13" s="16" t="s">
        <v>186</v>
      </c>
      <c r="C13" s="16" t="s">
        <v>193</v>
      </c>
      <c r="D13" s="17">
        <v>430000</v>
      </c>
      <c r="E13" s="17">
        <v>2</v>
      </c>
      <c r="F13" s="17">
        <v>1</v>
      </c>
      <c r="G13" s="17">
        <v>2070</v>
      </c>
      <c r="H13" s="17">
        <v>2014</v>
      </c>
      <c r="I13" s="17">
        <v>138</v>
      </c>
      <c r="J13" s="16" t="s">
        <v>181</v>
      </c>
      <c r="K13" s="17">
        <v>207.73</v>
      </c>
      <c r="L13" s="17">
        <v>0.26900000000000002</v>
      </c>
      <c r="M13" s="17">
        <v>3</v>
      </c>
      <c r="N13" s="18">
        <v>45154</v>
      </c>
    </row>
    <row r="14" spans="1:14" x14ac:dyDescent="0.3">
      <c r="A14" s="16" t="s">
        <v>201</v>
      </c>
      <c r="B14" s="16" t="s">
        <v>186</v>
      </c>
      <c r="C14" s="16" t="s">
        <v>189</v>
      </c>
      <c r="D14" s="17">
        <v>536000</v>
      </c>
      <c r="E14" s="17">
        <v>5</v>
      </c>
      <c r="F14" s="17">
        <v>1</v>
      </c>
      <c r="G14" s="17">
        <v>2390</v>
      </c>
      <c r="H14" s="17">
        <v>1995</v>
      </c>
      <c r="I14" s="17">
        <v>172</v>
      </c>
      <c r="J14" s="16" t="s">
        <v>181</v>
      </c>
      <c r="K14" s="17">
        <v>224.27</v>
      </c>
      <c r="L14" s="17">
        <v>0.26600000000000001</v>
      </c>
      <c r="M14" s="17">
        <v>2</v>
      </c>
      <c r="N14" s="18">
        <v>45120</v>
      </c>
    </row>
    <row r="15" spans="1:14" x14ac:dyDescent="0.3">
      <c r="A15" s="16" t="s">
        <v>202</v>
      </c>
      <c r="B15" s="16" t="s">
        <v>186</v>
      </c>
      <c r="C15" s="16" t="s">
        <v>193</v>
      </c>
      <c r="D15" s="17">
        <v>250000</v>
      </c>
      <c r="E15" s="17">
        <v>4</v>
      </c>
      <c r="F15" s="17">
        <v>3.5</v>
      </c>
      <c r="G15" s="17">
        <v>3090</v>
      </c>
      <c r="H15" s="17">
        <v>1983</v>
      </c>
      <c r="I15" s="17">
        <v>130</v>
      </c>
      <c r="J15" s="16" t="s">
        <v>181</v>
      </c>
      <c r="K15" s="17">
        <v>80.91</v>
      </c>
      <c r="L15" s="17">
        <v>0.35899999999999999</v>
      </c>
      <c r="M15" s="17">
        <v>2</v>
      </c>
      <c r="N15" s="18">
        <v>45162</v>
      </c>
    </row>
    <row r="16" spans="1:14" x14ac:dyDescent="0.3">
      <c r="A16" s="16" t="s">
        <v>203</v>
      </c>
      <c r="B16" s="16" t="s">
        <v>192</v>
      </c>
      <c r="C16" s="16" t="s">
        <v>189</v>
      </c>
      <c r="D16" s="17">
        <v>250000</v>
      </c>
      <c r="E16" s="17">
        <v>3</v>
      </c>
      <c r="F16" s="17">
        <v>3</v>
      </c>
      <c r="G16" s="17">
        <v>2710</v>
      </c>
      <c r="H16" s="17">
        <v>2020</v>
      </c>
      <c r="I16" s="17">
        <v>13</v>
      </c>
      <c r="J16" s="16" t="s">
        <v>184</v>
      </c>
      <c r="K16" s="17">
        <v>92.25</v>
      </c>
      <c r="L16" s="17">
        <v>0.32200000000000001</v>
      </c>
      <c r="M16" s="17">
        <v>2</v>
      </c>
      <c r="N16" s="18">
        <v>45279</v>
      </c>
    </row>
    <row r="17" spans="1:14" x14ac:dyDescent="0.3">
      <c r="A17" s="16" t="s">
        <v>204</v>
      </c>
      <c r="B17" s="16" t="s">
        <v>197</v>
      </c>
      <c r="C17" s="16" t="s">
        <v>180</v>
      </c>
      <c r="D17" s="17">
        <v>416000</v>
      </c>
      <c r="E17" s="17">
        <v>4</v>
      </c>
      <c r="F17" s="17">
        <v>2.5</v>
      </c>
      <c r="G17" s="17">
        <v>2100</v>
      </c>
      <c r="H17" s="17">
        <v>1976</v>
      </c>
      <c r="I17" s="17">
        <v>168</v>
      </c>
      <c r="J17" s="16" t="s">
        <v>187</v>
      </c>
      <c r="K17" s="17">
        <v>198.1</v>
      </c>
      <c r="L17" s="17">
        <v>0.28399999999999997</v>
      </c>
      <c r="M17" s="17">
        <v>0</v>
      </c>
      <c r="N17" s="18">
        <v>45124</v>
      </c>
    </row>
    <row r="18" spans="1:14" x14ac:dyDescent="0.3">
      <c r="A18" s="16" t="s">
        <v>205</v>
      </c>
      <c r="B18" s="16" t="s">
        <v>186</v>
      </c>
      <c r="C18" s="16" t="s">
        <v>193</v>
      </c>
      <c r="D18" s="17">
        <v>348000</v>
      </c>
      <c r="E18" s="17">
        <v>4</v>
      </c>
      <c r="F18" s="17">
        <v>2.5</v>
      </c>
      <c r="G18" s="17">
        <v>2190</v>
      </c>
      <c r="H18" s="17">
        <v>1972</v>
      </c>
      <c r="I18" s="17">
        <v>130</v>
      </c>
      <c r="J18" s="16" t="s">
        <v>187</v>
      </c>
      <c r="K18" s="17">
        <v>158.9</v>
      </c>
      <c r="L18" s="17">
        <v>0.13100000000000001</v>
      </c>
      <c r="M18" s="17">
        <v>1</v>
      </c>
      <c r="N18" s="18">
        <v>45162</v>
      </c>
    </row>
    <row r="19" spans="1:14" x14ac:dyDescent="0.3">
      <c r="A19" s="16" t="s">
        <v>206</v>
      </c>
      <c r="B19" s="16" t="s">
        <v>197</v>
      </c>
      <c r="C19" s="16" t="s">
        <v>183</v>
      </c>
      <c r="D19" s="17">
        <v>547000</v>
      </c>
      <c r="E19" s="17">
        <v>3</v>
      </c>
      <c r="F19" s="17">
        <v>2</v>
      </c>
      <c r="G19" s="17">
        <v>1600</v>
      </c>
      <c r="H19" s="17">
        <v>2016</v>
      </c>
      <c r="I19" s="17">
        <v>84</v>
      </c>
      <c r="J19" s="16" t="s">
        <v>181</v>
      </c>
      <c r="K19" s="17">
        <v>341.88</v>
      </c>
      <c r="L19" s="17">
        <v>0.32100000000000001</v>
      </c>
      <c r="M19" s="17">
        <v>2</v>
      </c>
      <c r="N19" s="18">
        <v>45208</v>
      </c>
    </row>
    <row r="20" spans="1:14" x14ac:dyDescent="0.3">
      <c r="A20" s="16" t="s">
        <v>207</v>
      </c>
      <c r="B20" s="16" t="s">
        <v>192</v>
      </c>
      <c r="C20" s="16" t="s">
        <v>189</v>
      </c>
      <c r="D20" s="17">
        <v>364000</v>
      </c>
      <c r="E20" s="17">
        <v>3</v>
      </c>
      <c r="F20" s="17">
        <v>2</v>
      </c>
      <c r="G20" s="17">
        <v>2190</v>
      </c>
      <c r="H20" s="17">
        <v>1992</v>
      </c>
      <c r="I20" s="17">
        <v>65</v>
      </c>
      <c r="J20" s="16" t="s">
        <v>181</v>
      </c>
      <c r="K20" s="17">
        <v>166.21</v>
      </c>
      <c r="L20" s="17">
        <v>0.53200000000000003</v>
      </c>
      <c r="M20" s="17">
        <v>0</v>
      </c>
      <c r="N20" s="18">
        <v>45227</v>
      </c>
    </row>
    <row r="21" spans="1:14" x14ac:dyDescent="0.3">
      <c r="A21" s="16" t="s">
        <v>208</v>
      </c>
      <c r="B21" s="16" t="s">
        <v>179</v>
      </c>
      <c r="C21" s="16" t="s">
        <v>193</v>
      </c>
      <c r="D21" s="17">
        <v>288000</v>
      </c>
      <c r="E21" s="17">
        <v>3</v>
      </c>
      <c r="F21" s="17">
        <v>2</v>
      </c>
      <c r="G21" s="17">
        <v>2030</v>
      </c>
      <c r="H21" s="17">
        <v>2015</v>
      </c>
      <c r="I21" s="17">
        <v>63</v>
      </c>
      <c r="J21" s="16" t="s">
        <v>184</v>
      </c>
      <c r="K21" s="17">
        <v>141.87</v>
      </c>
      <c r="L21" s="17">
        <v>0.45200000000000001</v>
      </c>
      <c r="M21" s="17">
        <v>2</v>
      </c>
      <c r="N21" s="18">
        <v>45229</v>
      </c>
    </row>
    <row r="22" spans="1:14" x14ac:dyDescent="0.3">
      <c r="A22" s="16" t="s">
        <v>209</v>
      </c>
      <c r="B22" s="16" t="s">
        <v>197</v>
      </c>
      <c r="C22" s="16" t="s">
        <v>189</v>
      </c>
      <c r="D22" s="17">
        <v>720000</v>
      </c>
      <c r="E22" s="17">
        <v>2</v>
      </c>
      <c r="F22" s="17">
        <v>2.5</v>
      </c>
      <c r="G22" s="17">
        <v>2390</v>
      </c>
      <c r="H22" s="17">
        <v>2012</v>
      </c>
      <c r="I22" s="17">
        <v>101</v>
      </c>
      <c r="J22" s="16" t="s">
        <v>184</v>
      </c>
      <c r="K22" s="17">
        <v>301.26</v>
      </c>
      <c r="L22" s="17">
        <v>0.48899999999999999</v>
      </c>
      <c r="M22" s="17">
        <v>1</v>
      </c>
      <c r="N22" s="18">
        <v>45191</v>
      </c>
    </row>
    <row r="23" spans="1:14" x14ac:dyDescent="0.3">
      <c r="A23" s="16" t="s">
        <v>210</v>
      </c>
      <c r="B23" s="16" t="s">
        <v>197</v>
      </c>
      <c r="C23" s="16" t="s">
        <v>180</v>
      </c>
      <c r="D23" s="17">
        <v>466000</v>
      </c>
      <c r="E23" s="17">
        <v>4</v>
      </c>
      <c r="F23" s="17">
        <v>3</v>
      </c>
      <c r="G23" s="17">
        <v>1700</v>
      </c>
      <c r="H23" s="17">
        <v>2016</v>
      </c>
      <c r="I23" s="17">
        <v>73</v>
      </c>
      <c r="J23" s="16" t="s">
        <v>187</v>
      </c>
      <c r="K23" s="17">
        <v>274.12</v>
      </c>
      <c r="L23" s="17">
        <v>0.17299999999999999</v>
      </c>
      <c r="M23" s="17">
        <v>2</v>
      </c>
      <c r="N23" s="18">
        <v>45219</v>
      </c>
    </row>
    <row r="24" spans="1:14" x14ac:dyDescent="0.3">
      <c r="A24" s="16" t="s">
        <v>211</v>
      </c>
      <c r="B24" s="16" t="s">
        <v>179</v>
      </c>
      <c r="C24" s="16" t="s">
        <v>193</v>
      </c>
      <c r="D24" s="17">
        <v>510000</v>
      </c>
      <c r="E24" s="17">
        <v>5</v>
      </c>
      <c r="F24" s="17">
        <v>2.5</v>
      </c>
      <c r="G24" s="17">
        <v>2510</v>
      </c>
      <c r="H24" s="17">
        <v>2014</v>
      </c>
      <c r="I24" s="17">
        <v>17</v>
      </c>
      <c r="J24" s="16" t="s">
        <v>181</v>
      </c>
      <c r="K24" s="17">
        <v>203.19</v>
      </c>
      <c r="L24" s="17">
        <v>0.10199999999999999</v>
      </c>
      <c r="M24" s="17">
        <v>1</v>
      </c>
      <c r="N24" s="18">
        <v>45275</v>
      </c>
    </row>
    <row r="25" spans="1:14" x14ac:dyDescent="0.3">
      <c r="A25" s="16" t="s">
        <v>212</v>
      </c>
      <c r="B25" s="16" t="s">
        <v>179</v>
      </c>
      <c r="C25" s="16" t="s">
        <v>213</v>
      </c>
      <c r="D25" s="17">
        <v>286000</v>
      </c>
      <c r="E25" s="17">
        <v>4</v>
      </c>
      <c r="F25" s="17">
        <v>2</v>
      </c>
      <c r="G25" s="17">
        <v>3120</v>
      </c>
      <c r="H25" s="17">
        <v>1987</v>
      </c>
      <c r="I25" s="17">
        <v>9</v>
      </c>
      <c r="J25" s="16" t="s">
        <v>187</v>
      </c>
      <c r="K25" s="17">
        <v>91.67</v>
      </c>
      <c r="L25" s="17">
        <v>0.23100000000000001</v>
      </c>
      <c r="M25" s="17">
        <v>2</v>
      </c>
      <c r="N25" s="18">
        <v>45283</v>
      </c>
    </row>
    <row r="26" spans="1:14" x14ac:dyDescent="0.3">
      <c r="A26" s="16" t="s">
        <v>214</v>
      </c>
      <c r="B26" s="16" t="s">
        <v>179</v>
      </c>
      <c r="C26" s="16" t="s">
        <v>180</v>
      </c>
      <c r="D26" s="17">
        <v>418000</v>
      </c>
      <c r="E26" s="17">
        <v>3</v>
      </c>
      <c r="F26" s="17">
        <v>3.5</v>
      </c>
      <c r="G26" s="17">
        <v>2130</v>
      </c>
      <c r="H26" s="17">
        <v>2007</v>
      </c>
      <c r="I26" s="17">
        <v>143</v>
      </c>
      <c r="J26" s="16" t="s">
        <v>184</v>
      </c>
      <c r="K26" s="17">
        <v>196.24</v>
      </c>
      <c r="L26" s="17">
        <v>0.25800000000000001</v>
      </c>
      <c r="M26" s="17">
        <v>2</v>
      </c>
      <c r="N26" s="18">
        <v>45149</v>
      </c>
    </row>
    <row r="27" spans="1:14" x14ac:dyDescent="0.3">
      <c r="A27" s="16" t="s">
        <v>215</v>
      </c>
      <c r="B27" s="16" t="s">
        <v>192</v>
      </c>
      <c r="C27" s="16" t="s">
        <v>189</v>
      </c>
      <c r="D27" s="17">
        <v>517000</v>
      </c>
      <c r="E27" s="17">
        <v>3</v>
      </c>
      <c r="F27" s="17">
        <v>3</v>
      </c>
      <c r="G27" s="17">
        <v>2440</v>
      </c>
      <c r="H27" s="17">
        <v>2004</v>
      </c>
      <c r="I27" s="17">
        <v>152</v>
      </c>
      <c r="J27" s="16" t="s">
        <v>181</v>
      </c>
      <c r="K27" s="17">
        <v>211.89</v>
      </c>
      <c r="L27" s="17">
        <v>0.41399999999999998</v>
      </c>
      <c r="M27" s="17">
        <v>1</v>
      </c>
      <c r="N27" s="18">
        <v>45140</v>
      </c>
    </row>
    <row r="28" spans="1:14" x14ac:dyDescent="0.3">
      <c r="A28" s="16" t="s">
        <v>216</v>
      </c>
      <c r="B28" s="16" t="s">
        <v>186</v>
      </c>
      <c r="C28" s="16" t="s">
        <v>189</v>
      </c>
      <c r="D28" s="17">
        <v>327000</v>
      </c>
      <c r="E28" s="17">
        <v>4</v>
      </c>
      <c r="F28" s="17">
        <v>2.5</v>
      </c>
      <c r="G28" s="17">
        <v>2610</v>
      </c>
      <c r="H28" s="17">
        <v>2020</v>
      </c>
      <c r="I28" s="17">
        <v>38</v>
      </c>
      <c r="J28" s="16" t="s">
        <v>187</v>
      </c>
      <c r="K28" s="17">
        <v>125.29</v>
      </c>
      <c r="L28" s="17">
        <v>0.1</v>
      </c>
      <c r="M28" s="17">
        <v>2</v>
      </c>
      <c r="N28" s="18">
        <v>45254</v>
      </c>
    </row>
    <row r="29" spans="1:14" x14ac:dyDescent="0.3">
      <c r="A29" s="16" t="s">
        <v>217</v>
      </c>
      <c r="B29" s="16" t="s">
        <v>186</v>
      </c>
      <c r="C29" s="16" t="s">
        <v>183</v>
      </c>
      <c r="D29" s="17">
        <v>556000</v>
      </c>
      <c r="E29" s="17">
        <v>4</v>
      </c>
      <c r="F29" s="17">
        <v>2.5</v>
      </c>
      <c r="G29" s="17">
        <v>1960</v>
      </c>
      <c r="H29" s="17">
        <v>1984</v>
      </c>
      <c r="I29" s="17">
        <v>163</v>
      </c>
      <c r="J29" s="16" t="s">
        <v>181</v>
      </c>
      <c r="K29" s="17">
        <v>283.67</v>
      </c>
      <c r="L29" s="17">
        <v>0.47899999999999998</v>
      </c>
      <c r="M29" s="17">
        <v>2</v>
      </c>
      <c r="N29" s="18">
        <v>45129</v>
      </c>
    </row>
    <row r="30" spans="1:14" x14ac:dyDescent="0.3">
      <c r="A30" s="16" t="s">
        <v>218</v>
      </c>
      <c r="B30" s="16" t="s">
        <v>179</v>
      </c>
      <c r="C30" s="16" t="s">
        <v>213</v>
      </c>
      <c r="D30" s="17">
        <v>410000</v>
      </c>
      <c r="E30" s="17">
        <v>4</v>
      </c>
      <c r="F30" s="17">
        <v>2.5</v>
      </c>
      <c r="G30" s="17">
        <v>2330</v>
      </c>
      <c r="H30" s="17">
        <v>1994</v>
      </c>
      <c r="I30" s="17">
        <v>94</v>
      </c>
      <c r="J30" s="16" t="s">
        <v>184</v>
      </c>
      <c r="K30" s="17">
        <v>175.97</v>
      </c>
      <c r="L30" s="17">
        <v>0.22600000000000001</v>
      </c>
      <c r="M30" s="17">
        <v>2</v>
      </c>
      <c r="N30" s="18">
        <v>45198</v>
      </c>
    </row>
    <row r="31" spans="1:14" x14ac:dyDescent="0.3">
      <c r="A31" s="16" t="s">
        <v>219</v>
      </c>
      <c r="B31" s="16" t="s">
        <v>186</v>
      </c>
      <c r="C31" s="16" t="s">
        <v>213</v>
      </c>
      <c r="D31" s="17">
        <v>456000</v>
      </c>
      <c r="E31" s="17">
        <v>4</v>
      </c>
      <c r="F31" s="17">
        <v>2</v>
      </c>
      <c r="G31" s="17">
        <v>2210</v>
      </c>
      <c r="H31" s="17">
        <v>2006</v>
      </c>
      <c r="I31" s="17">
        <v>95</v>
      </c>
      <c r="J31" s="16" t="s">
        <v>187</v>
      </c>
      <c r="K31" s="17">
        <v>206.33</v>
      </c>
      <c r="L31" s="17">
        <v>0.186</v>
      </c>
      <c r="M31" s="17">
        <v>3</v>
      </c>
      <c r="N31" s="18">
        <v>45197</v>
      </c>
    </row>
    <row r="32" spans="1:14" x14ac:dyDescent="0.3">
      <c r="A32" s="16" t="s">
        <v>220</v>
      </c>
      <c r="B32" s="16" t="s">
        <v>197</v>
      </c>
      <c r="C32" s="16" t="s">
        <v>213</v>
      </c>
      <c r="D32" s="17">
        <v>410000</v>
      </c>
      <c r="E32" s="17">
        <v>4</v>
      </c>
      <c r="F32" s="17">
        <v>2</v>
      </c>
      <c r="G32" s="17">
        <v>2260</v>
      </c>
      <c r="H32" s="17">
        <v>1997</v>
      </c>
      <c r="I32" s="17">
        <v>49</v>
      </c>
      <c r="J32" s="16" t="s">
        <v>181</v>
      </c>
      <c r="K32" s="17">
        <v>181.42</v>
      </c>
      <c r="L32" s="17">
        <v>0.1</v>
      </c>
      <c r="M32" s="17">
        <v>2</v>
      </c>
      <c r="N32" s="18">
        <v>45243</v>
      </c>
    </row>
    <row r="33" spans="1:14" x14ac:dyDescent="0.3">
      <c r="A33" s="16" t="s">
        <v>221</v>
      </c>
      <c r="B33" s="16" t="s">
        <v>186</v>
      </c>
      <c r="C33" s="16" t="s">
        <v>213</v>
      </c>
      <c r="D33" s="17">
        <v>778000</v>
      </c>
      <c r="E33" s="17">
        <v>2</v>
      </c>
      <c r="F33" s="17">
        <v>3</v>
      </c>
      <c r="G33" s="17">
        <v>1740</v>
      </c>
      <c r="H33" s="17">
        <v>1979</v>
      </c>
      <c r="I33" s="17">
        <v>69</v>
      </c>
      <c r="J33" s="16" t="s">
        <v>184</v>
      </c>
      <c r="K33" s="17">
        <v>447.13</v>
      </c>
      <c r="L33" s="17">
        <v>0.1</v>
      </c>
      <c r="M33" s="17">
        <v>1</v>
      </c>
      <c r="N33" s="18">
        <v>45223</v>
      </c>
    </row>
    <row r="34" spans="1:14" x14ac:dyDescent="0.3">
      <c r="A34" s="16" t="s">
        <v>222</v>
      </c>
      <c r="B34" s="16" t="s">
        <v>197</v>
      </c>
      <c r="C34" s="16" t="s">
        <v>180</v>
      </c>
      <c r="D34" s="17">
        <v>498000</v>
      </c>
      <c r="E34" s="17">
        <v>2</v>
      </c>
      <c r="F34" s="17">
        <v>1</v>
      </c>
      <c r="G34" s="17">
        <v>2210</v>
      </c>
      <c r="H34" s="17">
        <v>2008</v>
      </c>
      <c r="I34" s="17">
        <v>62</v>
      </c>
      <c r="J34" s="16" t="s">
        <v>181</v>
      </c>
      <c r="K34" s="17">
        <v>225.34</v>
      </c>
      <c r="L34" s="17">
        <v>0.373</v>
      </c>
      <c r="M34" s="17">
        <v>0</v>
      </c>
      <c r="N34" s="18">
        <v>45230</v>
      </c>
    </row>
    <row r="35" spans="1:14" x14ac:dyDescent="0.3">
      <c r="A35" s="16" t="s">
        <v>223</v>
      </c>
      <c r="B35" s="16" t="s">
        <v>179</v>
      </c>
      <c r="C35" s="16" t="s">
        <v>189</v>
      </c>
      <c r="D35" s="17">
        <v>341000</v>
      </c>
      <c r="E35" s="17">
        <v>4</v>
      </c>
      <c r="F35" s="17">
        <v>2</v>
      </c>
      <c r="G35" s="17">
        <v>2500</v>
      </c>
      <c r="H35" s="17">
        <v>1986</v>
      </c>
      <c r="I35" s="17">
        <v>178</v>
      </c>
      <c r="J35" s="16" t="s">
        <v>181</v>
      </c>
      <c r="K35" s="17">
        <v>136.4</v>
      </c>
      <c r="L35" s="17">
        <v>0.26100000000000001</v>
      </c>
      <c r="M35" s="17">
        <v>1</v>
      </c>
      <c r="N35" s="18">
        <v>45114</v>
      </c>
    </row>
    <row r="36" spans="1:14" x14ac:dyDescent="0.3">
      <c r="A36" s="16" t="s">
        <v>224</v>
      </c>
      <c r="B36" s="16" t="s">
        <v>186</v>
      </c>
      <c r="C36" s="16" t="s">
        <v>193</v>
      </c>
      <c r="D36" s="17">
        <v>623000</v>
      </c>
      <c r="E36" s="17">
        <v>4</v>
      </c>
      <c r="F36" s="17">
        <v>1</v>
      </c>
      <c r="G36" s="17">
        <v>3070</v>
      </c>
      <c r="H36" s="17">
        <v>2008</v>
      </c>
      <c r="I36" s="17">
        <v>78</v>
      </c>
      <c r="J36" s="16" t="s">
        <v>181</v>
      </c>
      <c r="K36" s="17">
        <v>202.93</v>
      </c>
      <c r="L36" s="17">
        <v>0.1</v>
      </c>
      <c r="M36" s="17">
        <v>2</v>
      </c>
      <c r="N36" s="18">
        <v>45214</v>
      </c>
    </row>
    <row r="37" spans="1:14" x14ac:dyDescent="0.3">
      <c r="A37" s="16" t="s">
        <v>225</v>
      </c>
      <c r="B37" s="16" t="s">
        <v>186</v>
      </c>
      <c r="C37" s="16" t="s">
        <v>183</v>
      </c>
      <c r="D37" s="17">
        <v>317000</v>
      </c>
      <c r="E37" s="17">
        <v>2</v>
      </c>
      <c r="F37" s="17">
        <v>1</v>
      </c>
      <c r="G37" s="17">
        <v>2780</v>
      </c>
      <c r="H37" s="17">
        <v>1991</v>
      </c>
      <c r="I37" s="17">
        <v>117</v>
      </c>
      <c r="J37" s="16" t="s">
        <v>184</v>
      </c>
      <c r="K37" s="17">
        <v>114.03</v>
      </c>
      <c r="L37" s="17">
        <v>0.1</v>
      </c>
      <c r="M37" s="17">
        <v>0</v>
      </c>
      <c r="N37" s="18">
        <v>45175</v>
      </c>
    </row>
    <row r="38" spans="1:14" x14ac:dyDescent="0.3">
      <c r="A38" s="16" t="s">
        <v>226</v>
      </c>
      <c r="B38" s="16" t="s">
        <v>179</v>
      </c>
      <c r="C38" s="16" t="s">
        <v>189</v>
      </c>
      <c r="D38" s="17">
        <v>531000</v>
      </c>
      <c r="E38" s="17">
        <v>2</v>
      </c>
      <c r="F38" s="17">
        <v>3</v>
      </c>
      <c r="G38" s="17">
        <v>3490</v>
      </c>
      <c r="H38" s="17">
        <v>1995</v>
      </c>
      <c r="I38" s="17">
        <v>120</v>
      </c>
      <c r="J38" s="16" t="s">
        <v>184</v>
      </c>
      <c r="K38" s="17">
        <v>152.15</v>
      </c>
      <c r="L38" s="17">
        <v>0.2</v>
      </c>
      <c r="M38" s="17">
        <v>2</v>
      </c>
      <c r="N38" s="18">
        <v>45172</v>
      </c>
    </row>
    <row r="39" spans="1:14" x14ac:dyDescent="0.3">
      <c r="A39" s="16" t="s">
        <v>227</v>
      </c>
      <c r="B39" s="16" t="s">
        <v>197</v>
      </c>
      <c r="C39" s="16" t="s">
        <v>213</v>
      </c>
      <c r="D39" s="17">
        <v>250000</v>
      </c>
      <c r="E39" s="17">
        <v>4</v>
      </c>
      <c r="F39" s="17">
        <v>3</v>
      </c>
      <c r="G39" s="17">
        <v>1740</v>
      </c>
      <c r="H39" s="17">
        <v>2013</v>
      </c>
      <c r="I39" s="17">
        <v>137</v>
      </c>
      <c r="J39" s="16" t="s">
        <v>187</v>
      </c>
      <c r="K39" s="17">
        <v>143.68</v>
      </c>
      <c r="L39" s="17">
        <v>0.5</v>
      </c>
      <c r="M39" s="17">
        <v>2</v>
      </c>
      <c r="N39" s="18">
        <v>45155</v>
      </c>
    </row>
    <row r="40" spans="1:14" x14ac:dyDescent="0.3">
      <c r="A40" s="16" t="s">
        <v>228</v>
      </c>
      <c r="B40" s="16" t="s">
        <v>192</v>
      </c>
      <c r="C40" s="16" t="s">
        <v>193</v>
      </c>
      <c r="D40" s="17">
        <v>301000</v>
      </c>
      <c r="E40" s="17">
        <v>2</v>
      </c>
      <c r="F40" s="17">
        <v>2.5</v>
      </c>
      <c r="G40" s="17">
        <v>2720</v>
      </c>
      <c r="H40" s="17">
        <v>1994</v>
      </c>
      <c r="I40" s="17">
        <v>162</v>
      </c>
      <c r="J40" s="16" t="s">
        <v>184</v>
      </c>
      <c r="K40" s="17">
        <v>110.66</v>
      </c>
      <c r="L40" s="17">
        <v>0.21099999999999999</v>
      </c>
      <c r="M40" s="17">
        <v>2</v>
      </c>
      <c r="N40" s="18">
        <v>45130</v>
      </c>
    </row>
    <row r="41" spans="1:14" x14ac:dyDescent="0.3">
      <c r="A41" s="16" t="s">
        <v>229</v>
      </c>
      <c r="B41" s="16" t="s">
        <v>179</v>
      </c>
      <c r="C41" s="16" t="s">
        <v>213</v>
      </c>
      <c r="D41" s="17">
        <v>530000</v>
      </c>
      <c r="E41" s="17">
        <v>2</v>
      </c>
      <c r="F41" s="17">
        <v>1</v>
      </c>
      <c r="G41" s="17">
        <v>2310</v>
      </c>
      <c r="H41" s="17">
        <v>1986</v>
      </c>
      <c r="I41" s="17">
        <v>76</v>
      </c>
      <c r="J41" s="16" t="s">
        <v>187</v>
      </c>
      <c r="K41" s="17">
        <v>229.44</v>
      </c>
      <c r="L41" s="17">
        <v>0.1</v>
      </c>
      <c r="M41" s="17">
        <v>2</v>
      </c>
      <c r="N41" s="18">
        <v>45216</v>
      </c>
    </row>
    <row r="42" spans="1:14" x14ac:dyDescent="0.3">
      <c r="A42" s="16" t="s">
        <v>230</v>
      </c>
      <c r="B42" s="16" t="s">
        <v>197</v>
      </c>
      <c r="C42" s="16" t="s">
        <v>180</v>
      </c>
      <c r="D42" s="17">
        <v>611000</v>
      </c>
      <c r="E42" s="17">
        <v>3</v>
      </c>
      <c r="F42" s="17">
        <v>2.5</v>
      </c>
      <c r="G42" s="17">
        <v>3510</v>
      </c>
      <c r="H42" s="17">
        <v>1982</v>
      </c>
      <c r="I42" s="17">
        <v>35</v>
      </c>
      <c r="J42" s="16" t="s">
        <v>187</v>
      </c>
      <c r="K42" s="17">
        <v>174.07</v>
      </c>
      <c r="L42" s="17">
        <v>0.21299999999999999</v>
      </c>
      <c r="M42" s="17">
        <v>1</v>
      </c>
      <c r="N42" s="18">
        <v>45257</v>
      </c>
    </row>
    <row r="43" spans="1:14" x14ac:dyDescent="0.3">
      <c r="A43" s="16" t="s">
        <v>231</v>
      </c>
      <c r="B43" s="16" t="s">
        <v>197</v>
      </c>
      <c r="C43" s="16" t="s">
        <v>189</v>
      </c>
      <c r="D43" s="17">
        <v>526000</v>
      </c>
      <c r="E43" s="17">
        <v>4</v>
      </c>
      <c r="F43" s="17">
        <v>2.5</v>
      </c>
      <c r="G43" s="17">
        <v>1720</v>
      </c>
      <c r="H43" s="17">
        <v>1989</v>
      </c>
      <c r="I43" s="17">
        <v>1</v>
      </c>
      <c r="J43" s="16" t="s">
        <v>184</v>
      </c>
      <c r="K43" s="17">
        <v>305.81</v>
      </c>
      <c r="L43" s="17">
        <v>0.20899999999999999</v>
      </c>
      <c r="M43" s="17">
        <v>0</v>
      </c>
      <c r="N43" s="18">
        <v>45291</v>
      </c>
    </row>
    <row r="44" spans="1:14" x14ac:dyDescent="0.3">
      <c r="A44" s="16" t="s">
        <v>232</v>
      </c>
      <c r="B44" s="16" t="s">
        <v>186</v>
      </c>
      <c r="C44" s="16" t="s">
        <v>189</v>
      </c>
      <c r="D44" s="17">
        <v>483000</v>
      </c>
      <c r="E44" s="17">
        <v>4</v>
      </c>
      <c r="F44" s="17">
        <v>2</v>
      </c>
      <c r="G44" s="17">
        <v>1700</v>
      </c>
      <c r="H44" s="17">
        <v>1994</v>
      </c>
      <c r="I44" s="17">
        <v>40</v>
      </c>
      <c r="J44" s="16" t="s">
        <v>187</v>
      </c>
      <c r="K44" s="17">
        <v>284.12</v>
      </c>
      <c r="L44" s="17">
        <v>0.1</v>
      </c>
      <c r="M44" s="17">
        <v>2</v>
      </c>
      <c r="N44" s="18">
        <v>45252</v>
      </c>
    </row>
    <row r="45" spans="1:14" x14ac:dyDescent="0.3">
      <c r="A45" s="16" t="s">
        <v>233</v>
      </c>
      <c r="B45" s="16" t="s">
        <v>179</v>
      </c>
      <c r="C45" s="16" t="s">
        <v>193</v>
      </c>
      <c r="D45" s="17">
        <v>455000</v>
      </c>
      <c r="E45" s="17">
        <v>3</v>
      </c>
      <c r="F45" s="17">
        <v>2.5</v>
      </c>
      <c r="G45" s="17">
        <v>1840</v>
      </c>
      <c r="H45" s="17">
        <v>1973</v>
      </c>
      <c r="I45" s="17">
        <v>64</v>
      </c>
      <c r="J45" s="16" t="s">
        <v>181</v>
      </c>
      <c r="K45" s="17">
        <v>247.28</v>
      </c>
      <c r="L45" s="17">
        <v>0.24199999999999999</v>
      </c>
      <c r="M45" s="17">
        <v>2</v>
      </c>
      <c r="N45" s="18">
        <v>45228</v>
      </c>
    </row>
    <row r="46" spans="1:14" x14ac:dyDescent="0.3">
      <c r="A46" s="16" t="s">
        <v>234</v>
      </c>
      <c r="B46" s="16" t="s">
        <v>179</v>
      </c>
      <c r="C46" s="16" t="s">
        <v>193</v>
      </c>
      <c r="D46" s="17">
        <v>278000</v>
      </c>
      <c r="E46" s="17">
        <v>4</v>
      </c>
      <c r="F46" s="17">
        <v>2</v>
      </c>
      <c r="G46" s="17">
        <v>1000</v>
      </c>
      <c r="H46" s="17">
        <v>1979</v>
      </c>
      <c r="I46" s="17">
        <v>150</v>
      </c>
      <c r="J46" s="16" t="s">
        <v>184</v>
      </c>
      <c r="K46" s="17">
        <v>278</v>
      </c>
      <c r="L46" s="17">
        <v>0.215</v>
      </c>
      <c r="M46" s="17">
        <v>2</v>
      </c>
      <c r="N46" s="18">
        <v>45142</v>
      </c>
    </row>
    <row r="47" spans="1:14" x14ac:dyDescent="0.3">
      <c r="A47" s="16" t="s">
        <v>235</v>
      </c>
      <c r="B47" s="16" t="s">
        <v>197</v>
      </c>
      <c r="C47" s="16" t="s">
        <v>183</v>
      </c>
      <c r="D47" s="17">
        <v>392000</v>
      </c>
      <c r="E47" s="17">
        <v>3</v>
      </c>
      <c r="F47" s="17">
        <v>2.5</v>
      </c>
      <c r="G47" s="17">
        <v>1880</v>
      </c>
      <c r="H47" s="17">
        <v>1972</v>
      </c>
      <c r="I47" s="17">
        <v>60</v>
      </c>
      <c r="J47" s="16" t="s">
        <v>187</v>
      </c>
      <c r="K47" s="17">
        <v>208.51</v>
      </c>
      <c r="L47" s="17">
        <v>0.35399999999999998</v>
      </c>
      <c r="M47" s="17">
        <v>2</v>
      </c>
      <c r="N47" s="18">
        <v>45232</v>
      </c>
    </row>
    <row r="48" spans="1:14" x14ac:dyDescent="0.3">
      <c r="A48" s="16" t="s">
        <v>236</v>
      </c>
      <c r="B48" s="16" t="s">
        <v>186</v>
      </c>
      <c r="C48" s="16" t="s">
        <v>213</v>
      </c>
      <c r="D48" s="17">
        <v>431000</v>
      </c>
      <c r="E48" s="17">
        <v>3</v>
      </c>
      <c r="F48" s="17">
        <v>2.5</v>
      </c>
      <c r="G48" s="17">
        <v>1740</v>
      </c>
      <c r="H48" s="17">
        <v>2010</v>
      </c>
      <c r="I48" s="17">
        <v>64</v>
      </c>
      <c r="J48" s="16" t="s">
        <v>184</v>
      </c>
      <c r="K48" s="17">
        <v>247.7</v>
      </c>
      <c r="L48" s="17">
        <v>0.52700000000000002</v>
      </c>
      <c r="M48" s="17">
        <v>1</v>
      </c>
      <c r="N48" s="18">
        <v>45228</v>
      </c>
    </row>
    <row r="49" spans="1:14" x14ac:dyDescent="0.3">
      <c r="A49" s="16" t="s">
        <v>237</v>
      </c>
      <c r="B49" s="16" t="s">
        <v>179</v>
      </c>
      <c r="C49" s="16" t="s">
        <v>193</v>
      </c>
      <c r="D49" s="17">
        <v>659000</v>
      </c>
      <c r="E49" s="17">
        <v>4</v>
      </c>
      <c r="F49" s="17">
        <v>1</v>
      </c>
      <c r="G49" s="17">
        <v>2290</v>
      </c>
      <c r="H49" s="17">
        <v>2014</v>
      </c>
      <c r="I49" s="17">
        <v>93</v>
      </c>
      <c r="J49" s="16" t="s">
        <v>181</v>
      </c>
      <c r="K49" s="17">
        <v>287.77</v>
      </c>
      <c r="L49" s="17">
        <v>0.41899999999999998</v>
      </c>
      <c r="M49" s="17">
        <v>2</v>
      </c>
      <c r="N49" s="18">
        <v>45199</v>
      </c>
    </row>
    <row r="50" spans="1:14" x14ac:dyDescent="0.3">
      <c r="A50" s="16" t="s">
        <v>238</v>
      </c>
      <c r="B50" s="16" t="s">
        <v>186</v>
      </c>
      <c r="C50" s="16" t="s">
        <v>193</v>
      </c>
      <c r="D50" s="17">
        <v>552000</v>
      </c>
      <c r="E50" s="17">
        <v>4</v>
      </c>
      <c r="F50" s="17">
        <v>2</v>
      </c>
      <c r="G50" s="17">
        <v>2410</v>
      </c>
      <c r="H50" s="17">
        <v>1987</v>
      </c>
      <c r="I50" s="17">
        <v>72</v>
      </c>
      <c r="J50" s="16" t="s">
        <v>184</v>
      </c>
      <c r="K50" s="17">
        <v>229.05</v>
      </c>
      <c r="L50" s="17">
        <v>0.21</v>
      </c>
      <c r="M50" s="17">
        <v>2</v>
      </c>
      <c r="N50" s="18">
        <v>45220</v>
      </c>
    </row>
    <row r="51" spans="1:14" x14ac:dyDescent="0.3">
      <c r="A51" s="16" t="s">
        <v>239</v>
      </c>
      <c r="B51" s="16" t="s">
        <v>192</v>
      </c>
      <c r="C51" s="16" t="s">
        <v>213</v>
      </c>
      <c r="D51" s="17">
        <v>250000</v>
      </c>
      <c r="E51" s="17">
        <v>4</v>
      </c>
      <c r="F51" s="17">
        <v>2.5</v>
      </c>
      <c r="G51" s="17">
        <v>3330</v>
      </c>
      <c r="H51" s="17">
        <v>2016</v>
      </c>
      <c r="I51" s="17">
        <v>11</v>
      </c>
      <c r="J51" s="16" t="s">
        <v>184</v>
      </c>
      <c r="K51" s="17">
        <v>75.08</v>
      </c>
      <c r="L51" s="17">
        <v>0.1</v>
      </c>
      <c r="M51" s="17">
        <v>2</v>
      </c>
      <c r="N51" s="18">
        <v>45281</v>
      </c>
    </row>
    <row r="52" spans="1:14" x14ac:dyDescent="0.3">
      <c r="A52" s="16" t="s">
        <v>240</v>
      </c>
      <c r="B52" s="16" t="s">
        <v>197</v>
      </c>
      <c r="C52" s="16" t="s">
        <v>183</v>
      </c>
      <c r="D52" s="17">
        <v>549000</v>
      </c>
      <c r="E52" s="17">
        <v>4</v>
      </c>
      <c r="F52" s="17">
        <v>2.5</v>
      </c>
      <c r="G52" s="17">
        <v>2770</v>
      </c>
      <c r="H52" s="17">
        <v>2005</v>
      </c>
      <c r="I52" s="17">
        <v>105</v>
      </c>
      <c r="J52" s="16" t="s">
        <v>184</v>
      </c>
      <c r="K52" s="17">
        <v>198.19</v>
      </c>
      <c r="L52" s="17">
        <v>0.63600000000000001</v>
      </c>
      <c r="M52" s="17">
        <v>1</v>
      </c>
      <c r="N52" s="18">
        <v>45187</v>
      </c>
    </row>
    <row r="53" spans="1:14" x14ac:dyDescent="0.3">
      <c r="A53" s="16" t="s">
        <v>241</v>
      </c>
      <c r="B53" s="16" t="s">
        <v>186</v>
      </c>
      <c r="C53" s="16" t="s">
        <v>213</v>
      </c>
      <c r="D53" s="17">
        <v>442000</v>
      </c>
      <c r="E53" s="17">
        <v>3</v>
      </c>
      <c r="F53" s="17">
        <v>3</v>
      </c>
      <c r="G53" s="17">
        <v>1850</v>
      </c>
      <c r="H53" s="17">
        <v>2016</v>
      </c>
      <c r="I53" s="17">
        <v>14</v>
      </c>
      <c r="J53" s="16" t="s">
        <v>184</v>
      </c>
      <c r="K53" s="17">
        <v>238.92</v>
      </c>
      <c r="L53" s="17">
        <v>0.25900000000000001</v>
      </c>
      <c r="M53" s="17">
        <v>2</v>
      </c>
      <c r="N53" s="18">
        <v>45278</v>
      </c>
    </row>
    <row r="54" spans="1:14" x14ac:dyDescent="0.3">
      <c r="A54" s="16" t="s">
        <v>242</v>
      </c>
      <c r="B54" s="16" t="s">
        <v>186</v>
      </c>
      <c r="C54" s="16" t="s">
        <v>189</v>
      </c>
      <c r="D54" s="17">
        <v>398000</v>
      </c>
      <c r="E54" s="17">
        <v>2</v>
      </c>
      <c r="F54" s="17">
        <v>2.5</v>
      </c>
      <c r="G54" s="17">
        <v>1660</v>
      </c>
      <c r="H54" s="17">
        <v>1991</v>
      </c>
      <c r="I54" s="17">
        <v>60</v>
      </c>
      <c r="J54" s="16" t="s">
        <v>181</v>
      </c>
      <c r="K54" s="17">
        <v>239.76</v>
      </c>
      <c r="L54" s="17">
        <v>0.252</v>
      </c>
      <c r="M54" s="17">
        <v>2</v>
      </c>
      <c r="N54" s="18">
        <v>45232</v>
      </c>
    </row>
    <row r="55" spans="1:14" x14ac:dyDescent="0.3">
      <c r="A55" s="16" t="s">
        <v>243</v>
      </c>
      <c r="B55" s="16" t="s">
        <v>192</v>
      </c>
      <c r="C55" s="16" t="s">
        <v>213</v>
      </c>
      <c r="D55" s="17">
        <v>592000</v>
      </c>
      <c r="E55" s="17">
        <v>3</v>
      </c>
      <c r="F55" s="17">
        <v>2</v>
      </c>
      <c r="G55" s="17">
        <v>2500</v>
      </c>
      <c r="H55" s="17">
        <v>2003</v>
      </c>
      <c r="I55" s="17">
        <v>30</v>
      </c>
      <c r="J55" s="16" t="s">
        <v>184</v>
      </c>
      <c r="K55" s="17">
        <v>236.8</v>
      </c>
      <c r="L55" s="17">
        <v>0.246</v>
      </c>
      <c r="M55" s="17">
        <v>0</v>
      </c>
      <c r="N55" s="18">
        <v>45262</v>
      </c>
    </row>
    <row r="56" spans="1:14" x14ac:dyDescent="0.3">
      <c r="A56" s="16" t="s">
        <v>244</v>
      </c>
      <c r="B56" s="16" t="s">
        <v>192</v>
      </c>
      <c r="C56" s="16" t="s">
        <v>193</v>
      </c>
      <c r="D56" s="17">
        <v>655000</v>
      </c>
      <c r="E56" s="17">
        <v>3</v>
      </c>
      <c r="F56" s="17">
        <v>1</v>
      </c>
      <c r="G56" s="17">
        <v>1410</v>
      </c>
      <c r="H56" s="17">
        <v>2016</v>
      </c>
      <c r="I56" s="17">
        <v>35</v>
      </c>
      <c r="J56" s="16" t="s">
        <v>184</v>
      </c>
      <c r="K56" s="17">
        <v>464.54</v>
      </c>
      <c r="L56" s="17">
        <v>0.28000000000000003</v>
      </c>
      <c r="M56" s="17">
        <v>3</v>
      </c>
      <c r="N56" s="18">
        <v>45257</v>
      </c>
    </row>
    <row r="57" spans="1:14" x14ac:dyDescent="0.3">
      <c r="A57" s="16" t="s">
        <v>245</v>
      </c>
      <c r="B57" s="16" t="s">
        <v>192</v>
      </c>
      <c r="C57" s="16" t="s">
        <v>193</v>
      </c>
      <c r="D57" s="17">
        <v>640000</v>
      </c>
      <c r="E57" s="17">
        <v>3</v>
      </c>
      <c r="F57" s="17">
        <v>2.5</v>
      </c>
      <c r="G57" s="17">
        <v>3300</v>
      </c>
      <c r="H57" s="17">
        <v>1977</v>
      </c>
      <c r="I57" s="17">
        <v>165</v>
      </c>
      <c r="J57" s="16" t="s">
        <v>181</v>
      </c>
      <c r="K57" s="17">
        <v>193.94</v>
      </c>
      <c r="L57" s="17">
        <v>0.22800000000000001</v>
      </c>
      <c r="M57" s="17">
        <v>1</v>
      </c>
      <c r="N57" s="18">
        <v>45127</v>
      </c>
    </row>
    <row r="58" spans="1:14" x14ac:dyDescent="0.3">
      <c r="A58" s="16" t="s">
        <v>246</v>
      </c>
      <c r="B58" s="16" t="s">
        <v>179</v>
      </c>
      <c r="C58" s="16" t="s">
        <v>189</v>
      </c>
      <c r="D58" s="17">
        <v>374000</v>
      </c>
      <c r="E58" s="17">
        <v>5</v>
      </c>
      <c r="F58" s="17">
        <v>1</v>
      </c>
      <c r="G58" s="17">
        <v>2910</v>
      </c>
      <c r="H58" s="17">
        <v>2009</v>
      </c>
      <c r="I58" s="17">
        <v>5</v>
      </c>
      <c r="J58" s="16" t="s">
        <v>184</v>
      </c>
      <c r="K58" s="17">
        <v>128.52000000000001</v>
      </c>
      <c r="L58" s="17">
        <v>0.16400000000000001</v>
      </c>
      <c r="M58" s="17">
        <v>3</v>
      </c>
      <c r="N58" s="18">
        <v>45287</v>
      </c>
    </row>
    <row r="59" spans="1:14" x14ac:dyDescent="0.3">
      <c r="A59" s="16" t="s">
        <v>247</v>
      </c>
      <c r="B59" s="16" t="s">
        <v>192</v>
      </c>
      <c r="C59" s="16" t="s">
        <v>183</v>
      </c>
      <c r="D59" s="17">
        <v>454000</v>
      </c>
      <c r="E59" s="17">
        <v>3</v>
      </c>
      <c r="F59" s="17">
        <v>2.5</v>
      </c>
      <c r="G59" s="17">
        <v>1920</v>
      </c>
      <c r="H59" s="17">
        <v>2018</v>
      </c>
      <c r="I59" s="17">
        <v>83</v>
      </c>
      <c r="J59" s="16" t="s">
        <v>184</v>
      </c>
      <c r="K59" s="17">
        <v>236.46</v>
      </c>
      <c r="L59" s="17">
        <v>0.16800000000000001</v>
      </c>
      <c r="M59" s="17">
        <v>2</v>
      </c>
      <c r="N59" s="18">
        <v>45209</v>
      </c>
    </row>
    <row r="60" spans="1:14" x14ac:dyDescent="0.3">
      <c r="A60" s="16" t="s">
        <v>248</v>
      </c>
      <c r="B60" s="16" t="s">
        <v>192</v>
      </c>
      <c r="C60" s="16" t="s">
        <v>193</v>
      </c>
      <c r="D60" s="17">
        <v>550000</v>
      </c>
      <c r="E60" s="17">
        <v>4</v>
      </c>
      <c r="F60" s="17">
        <v>3.5</v>
      </c>
      <c r="G60" s="17">
        <v>1170</v>
      </c>
      <c r="H60" s="17">
        <v>2013</v>
      </c>
      <c r="I60" s="17">
        <v>123</v>
      </c>
      <c r="J60" s="16" t="s">
        <v>181</v>
      </c>
      <c r="K60" s="17">
        <v>470.09</v>
      </c>
      <c r="L60" s="17">
        <v>0.245</v>
      </c>
      <c r="M60" s="17">
        <v>1</v>
      </c>
      <c r="N60" s="18">
        <v>45169</v>
      </c>
    </row>
    <row r="61" spans="1:14" x14ac:dyDescent="0.3">
      <c r="A61" s="16" t="s">
        <v>249</v>
      </c>
      <c r="B61" s="16" t="s">
        <v>197</v>
      </c>
      <c r="C61" s="16" t="s">
        <v>183</v>
      </c>
      <c r="D61" s="17">
        <v>646000</v>
      </c>
      <c r="E61" s="17">
        <v>4</v>
      </c>
      <c r="F61" s="17">
        <v>2.5</v>
      </c>
      <c r="G61" s="17">
        <v>3010</v>
      </c>
      <c r="H61" s="17">
        <v>1988</v>
      </c>
      <c r="I61" s="17">
        <v>78</v>
      </c>
      <c r="J61" s="16" t="s">
        <v>184</v>
      </c>
      <c r="K61" s="17">
        <v>214.62</v>
      </c>
      <c r="L61" s="17">
        <v>0.16800000000000001</v>
      </c>
      <c r="M61" s="17">
        <v>2</v>
      </c>
      <c r="N61" s="18">
        <v>45214</v>
      </c>
    </row>
    <row r="62" spans="1:14" x14ac:dyDescent="0.3">
      <c r="A62" s="16" t="s">
        <v>250</v>
      </c>
      <c r="B62" s="16" t="s">
        <v>197</v>
      </c>
      <c r="C62" s="16" t="s">
        <v>180</v>
      </c>
      <c r="D62" s="17">
        <v>428000</v>
      </c>
      <c r="E62" s="17">
        <v>4</v>
      </c>
      <c r="F62" s="17">
        <v>2</v>
      </c>
      <c r="G62" s="17">
        <v>2130</v>
      </c>
      <c r="H62" s="17">
        <v>2011</v>
      </c>
      <c r="I62" s="17">
        <v>154</v>
      </c>
      <c r="J62" s="16" t="s">
        <v>184</v>
      </c>
      <c r="K62" s="17">
        <v>200.94</v>
      </c>
      <c r="L62" s="17">
        <v>0.14299999999999999</v>
      </c>
      <c r="M62" s="17">
        <v>2</v>
      </c>
      <c r="N62" s="18">
        <v>45138</v>
      </c>
    </row>
    <row r="63" spans="1:14" x14ac:dyDescent="0.3">
      <c r="A63" s="16" t="s">
        <v>251</v>
      </c>
      <c r="B63" s="16" t="s">
        <v>197</v>
      </c>
      <c r="C63" s="16" t="s">
        <v>180</v>
      </c>
      <c r="D63" s="17">
        <v>472000</v>
      </c>
      <c r="E63" s="17">
        <v>3</v>
      </c>
      <c r="F63" s="17">
        <v>2.5</v>
      </c>
      <c r="G63" s="17">
        <v>2940</v>
      </c>
      <c r="H63" s="17">
        <v>2010</v>
      </c>
      <c r="I63" s="17">
        <v>62</v>
      </c>
      <c r="J63" s="16" t="s">
        <v>181</v>
      </c>
      <c r="K63" s="17">
        <v>160.54</v>
      </c>
      <c r="L63" s="17">
        <v>0.26600000000000001</v>
      </c>
      <c r="M63" s="17">
        <v>2</v>
      </c>
      <c r="N63" s="18">
        <v>45230</v>
      </c>
    </row>
    <row r="64" spans="1:14" x14ac:dyDescent="0.3">
      <c r="A64" s="16" t="s">
        <v>252</v>
      </c>
      <c r="B64" s="16" t="s">
        <v>186</v>
      </c>
      <c r="C64" s="16" t="s">
        <v>189</v>
      </c>
      <c r="D64" s="17">
        <v>334000</v>
      </c>
      <c r="E64" s="17">
        <v>3</v>
      </c>
      <c r="F64" s="17">
        <v>2.5</v>
      </c>
      <c r="G64" s="17">
        <v>1240</v>
      </c>
      <c r="H64" s="17">
        <v>2006</v>
      </c>
      <c r="I64" s="17">
        <v>132</v>
      </c>
      <c r="J64" s="16" t="s">
        <v>184</v>
      </c>
      <c r="K64" s="17">
        <v>269.35000000000002</v>
      </c>
      <c r="L64" s="17">
        <v>0.21199999999999999</v>
      </c>
      <c r="M64" s="17">
        <v>2</v>
      </c>
      <c r="N64" s="18">
        <v>45160</v>
      </c>
    </row>
    <row r="65" spans="1:14" x14ac:dyDescent="0.3">
      <c r="A65" s="16" t="s">
        <v>253</v>
      </c>
      <c r="B65" s="16" t="s">
        <v>192</v>
      </c>
      <c r="C65" s="16" t="s">
        <v>213</v>
      </c>
      <c r="D65" s="17">
        <v>321000</v>
      </c>
      <c r="E65" s="17">
        <v>3</v>
      </c>
      <c r="F65" s="17">
        <v>2.5</v>
      </c>
      <c r="G65" s="17">
        <v>1840</v>
      </c>
      <c r="H65" s="17">
        <v>1975</v>
      </c>
      <c r="I65" s="17">
        <v>89</v>
      </c>
      <c r="J65" s="16" t="s">
        <v>187</v>
      </c>
      <c r="K65" s="17">
        <v>174.46</v>
      </c>
      <c r="L65" s="17">
        <v>0.47599999999999998</v>
      </c>
      <c r="M65" s="17">
        <v>2</v>
      </c>
      <c r="N65" s="18">
        <v>45203</v>
      </c>
    </row>
    <row r="66" spans="1:14" x14ac:dyDescent="0.3">
      <c r="A66" s="16" t="s">
        <v>254</v>
      </c>
      <c r="B66" s="16" t="s">
        <v>197</v>
      </c>
      <c r="C66" s="16" t="s">
        <v>183</v>
      </c>
      <c r="D66" s="17">
        <v>622000</v>
      </c>
      <c r="E66" s="17">
        <v>2</v>
      </c>
      <c r="F66" s="17">
        <v>3.5</v>
      </c>
      <c r="G66" s="17">
        <v>2200</v>
      </c>
      <c r="H66" s="17">
        <v>2021</v>
      </c>
      <c r="I66" s="17">
        <v>42</v>
      </c>
      <c r="J66" s="16" t="s">
        <v>184</v>
      </c>
      <c r="K66" s="17">
        <v>282.73</v>
      </c>
      <c r="L66" s="17">
        <v>0.1</v>
      </c>
      <c r="M66" s="17">
        <v>2</v>
      </c>
      <c r="N66" s="18">
        <v>45250</v>
      </c>
    </row>
    <row r="67" spans="1:14" x14ac:dyDescent="0.3">
      <c r="A67" s="16" t="s">
        <v>255</v>
      </c>
      <c r="B67" s="16" t="s">
        <v>186</v>
      </c>
      <c r="C67" s="16" t="s">
        <v>183</v>
      </c>
      <c r="D67" s="17">
        <v>703000</v>
      </c>
      <c r="E67" s="17">
        <v>4</v>
      </c>
      <c r="F67" s="17">
        <v>2</v>
      </c>
      <c r="G67" s="17">
        <v>2230</v>
      </c>
      <c r="H67" s="17">
        <v>1995</v>
      </c>
      <c r="I67" s="17">
        <v>89</v>
      </c>
      <c r="J67" s="16" t="s">
        <v>181</v>
      </c>
      <c r="K67" s="17">
        <v>315.25</v>
      </c>
      <c r="L67" s="17">
        <v>0.41399999999999998</v>
      </c>
      <c r="M67" s="17">
        <v>2</v>
      </c>
      <c r="N67" s="18">
        <v>45203</v>
      </c>
    </row>
    <row r="68" spans="1:14" x14ac:dyDescent="0.3">
      <c r="A68" s="16" t="s">
        <v>256</v>
      </c>
      <c r="B68" s="16" t="s">
        <v>192</v>
      </c>
      <c r="C68" s="16" t="s">
        <v>213</v>
      </c>
      <c r="D68" s="17">
        <v>489000</v>
      </c>
      <c r="E68" s="17">
        <v>3</v>
      </c>
      <c r="F68" s="17">
        <v>3.5</v>
      </c>
      <c r="G68" s="17">
        <v>1930</v>
      </c>
      <c r="H68" s="17">
        <v>2003</v>
      </c>
      <c r="I68" s="17">
        <v>146</v>
      </c>
      <c r="J68" s="16" t="s">
        <v>184</v>
      </c>
      <c r="K68" s="17">
        <v>253.37</v>
      </c>
      <c r="L68" s="17">
        <v>0.437</v>
      </c>
      <c r="M68" s="17">
        <v>1</v>
      </c>
      <c r="N68" s="18">
        <v>45146</v>
      </c>
    </row>
    <row r="69" spans="1:14" x14ac:dyDescent="0.3">
      <c r="A69" s="16" t="s">
        <v>257</v>
      </c>
      <c r="B69" s="16" t="s">
        <v>179</v>
      </c>
      <c r="C69" s="16" t="s">
        <v>189</v>
      </c>
      <c r="D69" s="17">
        <v>651000</v>
      </c>
      <c r="E69" s="17">
        <v>2</v>
      </c>
      <c r="F69" s="17">
        <v>3.5</v>
      </c>
      <c r="G69" s="17">
        <v>2570</v>
      </c>
      <c r="H69" s="17">
        <v>2014</v>
      </c>
      <c r="I69" s="17">
        <v>40</v>
      </c>
      <c r="J69" s="16" t="s">
        <v>187</v>
      </c>
      <c r="K69" s="17">
        <v>253.31</v>
      </c>
      <c r="L69" s="17">
        <v>0.1</v>
      </c>
      <c r="M69" s="17">
        <v>2</v>
      </c>
      <c r="N69" s="18">
        <v>45252</v>
      </c>
    </row>
    <row r="70" spans="1:14" x14ac:dyDescent="0.3">
      <c r="A70" s="16" t="s">
        <v>258</v>
      </c>
      <c r="B70" s="16" t="s">
        <v>179</v>
      </c>
      <c r="C70" s="16" t="s">
        <v>213</v>
      </c>
      <c r="D70" s="17">
        <v>554000</v>
      </c>
      <c r="E70" s="17">
        <v>4</v>
      </c>
      <c r="F70" s="17">
        <v>2</v>
      </c>
      <c r="G70" s="17">
        <v>1560</v>
      </c>
      <c r="H70" s="17">
        <v>1975</v>
      </c>
      <c r="I70" s="17">
        <v>72</v>
      </c>
      <c r="J70" s="16" t="s">
        <v>181</v>
      </c>
      <c r="K70" s="17">
        <v>355.13</v>
      </c>
      <c r="L70" s="17">
        <v>0.19900000000000001</v>
      </c>
      <c r="M70" s="17">
        <v>1</v>
      </c>
      <c r="N70" s="18">
        <v>45220</v>
      </c>
    </row>
    <row r="71" spans="1:14" x14ac:dyDescent="0.3">
      <c r="A71" s="16" t="s">
        <v>259</v>
      </c>
      <c r="B71" s="16" t="s">
        <v>186</v>
      </c>
      <c r="C71" s="16" t="s">
        <v>183</v>
      </c>
      <c r="D71" s="17">
        <v>403000</v>
      </c>
      <c r="E71" s="17">
        <v>2</v>
      </c>
      <c r="F71" s="17">
        <v>1</v>
      </c>
      <c r="G71" s="17">
        <v>2110</v>
      </c>
      <c r="H71" s="17">
        <v>2006</v>
      </c>
      <c r="I71" s="17">
        <v>39</v>
      </c>
      <c r="J71" s="16" t="s">
        <v>181</v>
      </c>
      <c r="K71" s="17">
        <v>191</v>
      </c>
      <c r="L71" s="17">
        <v>0.19400000000000001</v>
      </c>
      <c r="M71" s="17">
        <v>3</v>
      </c>
      <c r="N71" s="18">
        <v>45253</v>
      </c>
    </row>
    <row r="72" spans="1:14" x14ac:dyDescent="0.3">
      <c r="A72" s="16" t="s">
        <v>260</v>
      </c>
      <c r="B72" s="16" t="s">
        <v>192</v>
      </c>
      <c r="C72" s="16" t="s">
        <v>193</v>
      </c>
      <c r="D72" s="17">
        <v>554000</v>
      </c>
      <c r="E72" s="17">
        <v>5</v>
      </c>
      <c r="F72" s="17">
        <v>2</v>
      </c>
      <c r="G72" s="17">
        <v>2270</v>
      </c>
      <c r="H72" s="17">
        <v>2002</v>
      </c>
      <c r="I72" s="17">
        <v>104</v>
      </c>
      <c r="J72" s="16" t="s">
        <v>184</v>
      </c>
      <c r="K72" s="17">
        <v>244.05</v>
      </c>
      <c r="L72" s="17">
        <v>0.1</v>
      </c>
      <c r="M72" s="17">
        <v>3</v>
      </c>
      <c r="N72" s="18">
        <v>45188</v>
      </c>
    </row>
    <row r="73" spans="1:14" x14ac:dyDescent="0.3">
      <c r="A73" s="16" t="s">
        <v>261</v>
      </c>
      <c r="B73" s="16" t="s">
        <v>192</v>
      </c>
      <c r="C73" s="16" t="s">
        <v>213</v>
      </c>
      <c r="D73" s="17">
        <v>731000</v>
      </c>
      <c r="E73" s="17">
        <v>5</v>
      </c>
      <c r="F73" s="17">
        <v>1</v>
      </c>
      <c r="G73" s="17">
        <v>2510</v>
      </c>
      <c r="H73" s="17">
        <v>2022</v>
      </c>
      <c r="I73" s="17">
        <v>14</v>
      </c>
      <c r="J73" s="16" t="s">
        <v>184</v>
      </c>
      <c r="K73" s="17">
        <v>291.24</v>
      </c>
      <c r="L73" s="17">
        <v>0.13300000000000001</v>
      </c>
      <c r="M73" s="17">
        <v>0</v>
      </c>
      <c r="N73" s="18">
        <v>45278</v>
      </c>
    </row>
    <row r="74" spans="1:14" x14ac:dyDescent="0.3">
      <c r="A74" s="16" t="s">
        <v>262</v>
      </c>
      <c r="B74" s="16" t="s">
        <v>192</v>
      </c>
      <c r="C74" s="16" t="s">
        <v>183</v>
      </c>
      <c r="D74" s="17">
        <v>495000</v>
      </c>
      <c r="E74" s="17">
        <v>5</v>
      </c>
      <c r="F74" s="17">
        <v>1</v>
      </c>
      <c r="G74" s="17">
        <v>2630</v>
      </c>
      <c r="H74" s="17">
        <v>1991</v>
      </c>
      <c r="I74" s="17">
        <v>32</v>
      </c>
      <c r="J74" s="16" t="s">
        <v>181</v>
      </c>
      <c r="K74" s="17">
        <v>188.21</v>
      </c>
      <c r="L74" s="17">
        <v>0.1</v>
      </c>
      <c r="M74" s="17">
        <v>2</v>
      </c>
      <c r="N74" s="18">
        <v>45260</v>
      </c>
    </row>
    <row r="75" spans="1:14" x14ac:dyDescent="0.3">
      <c r="A75" s="16" t="s">
        <v>263</v>
      </c>
      <c r="B75" s="16" t="s">
        <v>179</v>
      </c>
      <c r="C75" s="16" t="s">
        <v>180</v>
      </c>
      <c r="D75" s="17">
        <v>735000</v>
      </c>
      <c r="E75" s="17">
        <v>3</v>
      </c>
      <c r="F75" s="17">
        <v>2.5</v>
      </c>
      <c r="G75" s="17">
        <v>1530</v>
      </c>
      <c r="H75" s="17">
        <v>1990</v>
      </c>
      <c r="I75" s="17">
        <v>179</v>
      </c>
      <c r="J75" s="16" t="s">
        <v>187</v>
      </c>
      <c r="K75" s="17">
        <v>480.39</v>
      </c>
      <c r="L75" s="17">
        <v>0.51300000000000001</v>
      </c>
      <c r="M75" s="17">
        <v>3</v>
      </c>
      <c r="N75" s="18">
        <v>45113</v>
      </c>
    </row>
    <row r="76" spans="1:14" x14ac:dyDescent="0.3">
      <c r="A76" s="16" t="s">
        <v>264</v>
      </c>
      <c r="B76" s="16" t="s">
        <v>179</v>
      </c>
      <c r="C76" s="16" t="s">
        <v>189</v>
      </c>
      <c r="D76" s="17">
        <v>250000</v>
      </c>
      <c r="E76" s="17">
        <v>2</v>
      </c>
      <c r="F76" s="17">
        <v>1</v>
      </c>
      <c r="G76" s="17">
        <v>1280</v>
      </c>
      <c r="H76" s="17">
        <v>1975</v>
      </c>
      <c r="I76" s="17">
        <v>125</v>
      </c>
      <c r="J76" s="16" t="s">
        <v>181</v>
      </c>
      <c r="K76" s="17">
        <v>195.31</v>
      </c>
      <c r="L76" s="17">
        <v>0.39</v>
      </c>
      <c r="M76" s="17">
        <v>1</v>
      </c>
      <c r="N76" s="18">
        <v>45167</v>
      </c>
    </row>
    <row r="77" spans="1:14" x14ac:dyDescent="0.3">
      <c r="A77" s="16" t="s">
        <v>265</v>
      </c>
      <c r="B77" s="16" t="s">
        <v>186</v>
      </c>
      <c r="C77" s="16" t="s">
        <v>183</v>
      </c>
      <c r="D77" s="17">
        <v>623000</v>
      </c>
      <c r="E77" s="17">
        <v>5</v>
      </c>
      <c r="F77" s="17">
        <v>2</v>
      </c>
      <c r="G77" s="17">
        <v>2970</v>
      </c>
      <c r="H77" s="17">
        <v>1975</v>
      </c>
      <c r="I77" s="17">
        <v>166</v>
      </c>
      <c r="J77" s="16" t="s">
        <v>181</v>
      </c>
      <c r="K77" s="17">
        <v>209.76</v>
      </c>
      <c r="L77" s="17">
        <v>0.441</v>
      </c>
      <c r="M77" s="17">
        <v>2</v>
      </c>
      <c r="N77" s="18">
        <v>45126</v>
      </c>
    </row>
    <row r="78" spans="1:14" x14ac:dyDescent="0.3">
      <c r="A78" s="16" t="s">
        <v>266</v>
      </c>
      <c r="B78" s="16" t="s">
        <v>186</v>
      </c>
      <c r="C78" s="16" t="s">
        <v>183</v>
      </c>
      <c r="D78" s="17">
        <v>513000</v>
      </c>
      <c r="E78" s="17">
        <v>3</v>
      </c>
      <c r="F78" s="17">
        <v>3</v>
      </c>
      <c r="G78" s="17">
        <v>2400</v>
      </c>
      <c r="H78" s="17">
        <v>2017</v>
      </c>
      <c r="I78" s="17">
        <v>97</v>
      </c>
      <c r="J78" s="16" t="s">
        <v>184</v>
      </c>
      <c r="K78" s="17">
        <v>213.75</v>
      </c>
      <c r="L78" s="17">
        <v>0.35799999999999998</v>
      </c>
      <c r="M78" s="17">
        <v>3</v>
      </c>
      <c r="N78" s="18">
        <v>45195</v>
      </c>
    </row>
    <row r="79" spans="1:14" x14ac:dyDescent="0.3">
      <c r="A79" s="16" t="s">
        <v>267</v>
      </c>
      <c r="B79" s="16" t="s">
        <v>197</v>
      </c>
      <c r="C79" s="16" t="s">
        <v>180</v>
      </c>
      <c r="D79" s="17">
        <v>455000</v>
      </c>
      <c r="E79" s="17">
        <v>5</v>
      </c>
      <c r="F79" s="17">
        <v>1</v>
      </c>
      <c r="G79" s="17">
        <v>1750</v>
      </c>
      <c r="H79" s="17">
        <v>1973</v>
      </c>
      <c r="I79" s="17">
        <v>23</v>
      </c>
      <c r="J79" s="16" t="s">
        <v>184</v>
      </c>
      <c r="K79" s="17">
        <v>260</v>
      </c>
      <c r="L79" s="17">
        <v>0.1</v>
      </c>
      <c r="M79" s="17">
        <v>0</v>
      </c>
      <c r="N79" s="18">
        <v>45269</v>
      </c>
    </row>
    <row r="80" spans="1:14" x14ac:dyDescent="0.3">
      <c r="A80" s="16" t="s">
        <v>268</v>
      </c>
      <c r="B80" s="16" t="s">
        <v>192</v>
      </c>
      <c r="C80" s="16" t="s">
        <v>180</v>
      </c>
      <c r="D80" s="17">
        <v>514000</v>
      </c>
      <c r="E80" s="17">
        <v>5</v>
      </c>
      <c r="F80" s="17">
        <v>3</v>
      </c>
      <c r="G80" s="17">
        <v>3130</v>
      </c>
      <c r="H80" s="17">
        <v>1999</v>
      </c>
      <c r="I80" s="17">
        <v>63</v>
      </c>
      <c r="J80" s="16" t="s">
        <v>187</v>
      </c>
      <c r="K80" s="17">
        <v>164.22</v>
      </c>
      <c r="L80" s="17">
        <v>0.17100000000000001</v>
      </c>
      <c r="M80" s="17">
        <v>2</v>
      </c>
      <c r="N80" s="18">
        <v>45229</v>
      </c>
    </row>
    <row r="81" spans="1:14" x14ac:dyDescent="0.3">
      <c r="A81" s="16" t="s">
        <v>269</v>
      </c>
      <c r="B81" s="16" t="s">
        <v>197</v>
      </c>
      <c r="C81" s="16" t="s">
        <v>193</v>
      </c>
      <c r="D81" s="17">
        <v>250000</v>
      </c>
      <c r="E81" s="17">
        <v>4</v>
      </c>
      <c r="F81" s="17">
        <v>2</v>
      </c>
      <c r="G81" s="17">
        <v>2270</v>
      </c>
      <c r="H81" s="17">
        <v>1980</v>
      </c>
      <c r="I81" s="17">
        <v>143</v>
      </c>
      <c r="J81" s="16" t="s">
        <v>181</v>
      </c>
      <c r="K81" s="17">
        <v>110.13</v>
      </c>
      <c r="L81" s="17">
        <v>0.32300000000000001</v>
      </c>
      <c r="M81" s="17">
        <v>1</v>
      </c>
      <c r="N81" s="18">
        <v>45149</v>
      </c>
    </row>
    <row r="82" spans="1:14" x14ac:dyDescent="0.3">
      <c r="A82" s="16" t="s">
        <v>270</v>
      </c>
      <c r="B82" s="16" t="s">
        <v>186</v>
      </c>
      <c r="C82" s="16" t="s">
        <v>180</v>
      </c>
      <c r="D82" s="17">
        <v>467000</v>
      </c>
      <c r="E82" s="17">
        <v>3</v>
      </c>
      <c r="F82" s="17">
        <v>2</v>
      </c>
      <c r="G82" s="17">
        <v>2910</v>
      </c>
      <c r="H82" s="17">
        <v>1999</v>
      </c>
      <c r="I82" s="17">
        <v>153</v>
      </c>
      <c r="J82" s="16" t="s">
        <v>187</v>
      </c>
      <c r="K82" s="17">
        <v>160.47999999999999</v>
      </c>
      <c r="L82" s="17">
        <v>0.1</v>
      </c>
      <c r="M82" s="17">
        <v>3</v>
      </c>
      <c r="N82" s="18">
        <v>45139</v>
      </c>
    </row>
    <row r="83" spans="1:14" x14ac:dyDescent="0.3">
      <c r="A83" s="16" t="s">
        <v>271</v>
      </c>
      <c r="B83" s="16" t="s">
        <v>179</v>
      </c>
      <c r="C83" s="16" t="s">
        <v>189</v>
      </c>
      <c r="D83" s="17">
        <v>554000</v>
      </c>
      <c r="E83" s="17">
        <v>3</v>
      </c>
      <c r="F83" s="17">
        <v>2.5</v>
      </c>
      <c r="G83" s="17">
        <v>2240</v>
      </c>
      <c r="H83" s="17">
        <v>2000</v>
      </c>
      <c r="I83" s="17">
        <v>145</v>
      </c>
      <c r="J83" s="16" t="s">
        <v>184</v>
      </c>
      <c r="K83" s="17">
        <v>247.32</v>
      </c>
      <c r="L83" s="17">
        <v>0.35699999999999998</v>
      </c>
      <c r="M83" s="17">
        <v>3</v>
      </c>
      <c r="N83" s="18">
        <v>45147</v>
      </c>
    </row>
    <row r="84" spans="1:14" x14ac:dyDescent="0.3">
      <c r="A84" s="16" t="s">
        <v>272</v>
      </c>
      <c r="B84" s="16" t="s">
        <v>197</v>
      </c>
      <c r="C84" s="16" t="s">
        <v>193</v>
      </c>
      <c r="D84" s="17">
        <v>722000</v>
      </c>
      <c r="E84" s="17">
        <v>4</v>
      </c>
      <c r="F84" s="17">
        <v>2.5</v>
      </c>
      <c r="G84" s="17">
        <v>3440</v>
      </c>
      <c r="H84" s="17">
        <v>1993</v>
      </c>
      <c r="I84" s="17">
        <v>53</v>
      </c>
      <c r="J84" s="16" t="s">
        <v>187</v>
      </c>
      <c r="K84" s="17">
        <v>209.88</v>
      </c>
      <c r="L84" s="17">
        <v>0.214</v>
      </c>
      <c r="M84" s="17">
        <v>3</v>
      </c>
      <c r="N84" s="18">
        <v>45239</v>
      </c>
    </row>
    <row r="85" spans="1:14" x14ac:dyDescent="0.3">
      <c r="A85" s="16" t="s">
        <v>273</v>
      </c>
      <c r="B85" s="16" t="s">
        <v>179</v>
      </c>
      <c r="C85" s="16" t="s">
        <v>213</v>
      </c>
      <c r="D85" s="17">
        <v>422000</v>
      </c>
      <c r="E85" s="17">
        <v>3</v>
      </c>
      <c r="F85" s="17">
        <v>3</v>
      </c>
      <c r="G85" s="17">
        <v>3250</v>
      </c>
      <c r="H85" s="17">
        <v>1978</v>
      </c>
      <c r="I85" s="17">
        <v>104</v>
      </c>
      <c r="J85" s="16" t="s">
        <v>184</v>
      </c>
      <c r="K85" s="17">
        <v>129.85</v>
      </c>
      <c r="L85" s="17">
        <v>0.19400000000000001</v>
      </c>
      <c r="M85" s="17">
        <v>2</v>
      </c>
      <c r="N85" s="18">
        <v>45188</v>
      </c>
    </row>
    <row r="86" spans="1:14" x14ac:dyDescent="0.3">
      <c r="A86" s="16" t="s">
        <v>274</v>
      </c>
      <c r="B86" s="16" t="s">
        <v>186</v>
      </c>
      <c r="C86" s="16" t="s">
        <v>183</v>
      </c>
      <c r="D86" s="17">
        <v>379000</v>
      </c>
      <c r="E86" s="17">
        <v>2</v>
      </c>
      <c r="F86" s="17">
        <v>3</v>
      </c>
      <c r="G86" s="17">
        <v>2050</v>
      </c>
      <c r="H86" s="17">
        <v>1972</v>
      </c>
      <c r="I86" s="17">
        <v>104</v>
      </c>
      <c r="J86" s="16" t="s">
        <v>181</v>
      </c>
      <c r="K86" s="17">
        <v>184.88</v>
      </c>
      <c r="L86" s="17">
        <v>0.35699999999999998</v>
      </c>
      <c r="M86" s="17">
        <v>2</v>
      </c>
      <c r="N86" s="18">
        <v>45188</v>
      </c>
    </row>
    <row r="87" spans="1:14" x14ac:dyDescent="0.3">
      <c r="A87" s="16" t="s">
        <v>275</v>
      </c>
      <c r="B87" s="16" t="s">
        <v>197</v>
      </c>
      <c r="C87" s="16" t="s">
        <v>213</v>
      </c>
      <c r="D87" s="17">
        <v>425000</v>
      </c>
      <c r="E87" s="17">
        <v>3</v>
      </c>
      <c r="F87" s="17">
        <v>3</v>
      </c>
      <c r="G87" s="17">
        <v>2780</v>
      </c>
      <c r="H87" s="17">
        <v>2020</v>
      </c>
      <c r="I87" s="17">
        <v>179</v>
      </c>
      <c r="J87" s="16" t="s">
        <v>181</v>
      </c>
      <c r="K87" s="17">
        <v>152.88</v>
      </c>
      <c r="L87" s="17">
        <v>0.317</v>
      </c>
      <c r="M87" s="17">
        <v>2</v>
      </c>
      <c r="N87" s="18">
        <v>45113</v>
      </c>
    </row>
    <row r="88" spans="1:14" x14ac:dyDescent="0.3">
      <c r="A88" s="16" t="s">
        <v>276</v>
      </c>
      <c r="B88" s="16" t="s">
        <v>192</v>
      </c>
      <c r="C88" s="16" t="s">
        <v>183</v>
      </c>
      <c r="D88" s="17">
        <v>637000</v>
      </c>
      <c r="E88" s="17">
        <v>5</v>
      </c>
      <c r="F88" s="17">
        <v>2</v>
      </c>
      <c r="G88" s="17">
        <v>2590</v>
      </c>
      <c r="H88" s="17">
        <v>2000</v>
      </c>
      <c r="I88" s="17">
        <v>39</v>
      </c>
      <c r="J88" s="16" t="s">
        <v>187</v>
      </c>
      <c r="K88" s="17">
        <v>245.95</v>
      </c>
      <c r="L88" s="17">
        <v>0.19600000000000001</v>
      </c>
      <c r="M88" s="17">
        <v>2</v>
      </c>
      <c r="N88" s="18">
        <v>45253</v>
      </c>
    </row>
    <row r="89" spans="1:14" x14ac:dyDescent="0.3">
      <c r="A89" s="16" t="s">
        <v>277</v>
      </c>
      <c r="B89" s="16" t="s">
        <v>186</v>
      </c>
      <c r="C89" s="16" t="s">
        <v>189</v>
      </c>
      <c r="D89" s="17">
        <v>549000</v>
      </c>
      <c r="E89" s="17">
        <v>4</v>
      </c>
      <c r="F89" s="17">
        <v>2</v>
      </c>
      <c r="G89" s="17">
        <v>3020</v>
      </c>
      <c r="H89" s="17">
        <v>2009</v>
      </c>
      <c r="I89" s="17">
        <v>179</v>
      </c>
      <c r="J89" s="16" t="s">
        <v>187</v>
      </c>
      <c r="K89" s="17">
        <v>181.79</v>
      </c>
      <c r="L89" s="17">
        <v>0.42399999999999999</v>
      </c>
      <c r="M89" s="17">
        <v>2</v>
      </c>
      <c r="N89" s="18">
        <v>45113</v>
      </c>
    </row>
    <row r="90" spans="1:14" x14ac:dyDescent="0.3">
      <c r="A90" s="16" t="s">
        <v>278</v>
      </c>
      <c r="B90" s="16" t="s">
        <v>186</v>
      </c>
      <c r="C90" s="16" t="s">
        <v>183</v>
      </c>
      <c r="D90" s="17">
        <v>421000</v>
      </c>
      <c r="E90" s="17">
        <v>3</v>
      </c>
      <c r="F90" s="17">
        <v>3</v>
      </c>
      <c r="G90" s="17">
        <v>1620</v>
      </c>
      <c r="H90" s="17">
        <v>2006</v>
      </c>
      <c r="I90" s="17">
        <v>134</v>
      </c>
      <c r="J90" s="16" t="s">
        <v>181</v>
      </c>
      <c r="K90" s="17">
        <v>259.88</v>
      </c>
      <c r="L90" s="17">
        <v>0.1</v>
      </c>
      <c r="M90" s="17">
        <v>0</v>
      </c>
      <c r="N90" s="18">
        <v>45158</v>
      </c>
    </row>
    <row r="91" spans="1:14" x14ac:dyDescent="0.3">
      <c r="A91" s="16" t="s">
        <v>279</v>
      </c>
      <c r="B91" s="16" t="s">
        <v>186</v>
      </c>
      <c r="C91" s="16" t="s">
        <v>180</v>
      </c>
      <c r="D91" s="17">
        <v>577000</v>
      </c>
      <c r="E91" s="17">
        <v>2</v>
      </c>
      <c r="F91" s="17">
        <v>3</v>
      </c>
      <c r="G91" s="17">
        <v>2610</v>
      </c>
      <c r="H91" s="17">
        <v>2005</v>
      </c>
      <c r="I91" s="17">
        <v>67</v>
      </c>
      <c r="J91" s="16" t="s">
        <v>181</v>
      </c>
      <c r="K91" s="17">
        <v>221.07</v>
      </c>
      <c r="L91" s="17">
        <v>0.34200000000000003</v>
      </c>
      <c r="M91" s="17">
        <v>2</v>
      </c>
      <c r="N91" s="18">
        <v>45225</v>
      </c>
    </row>
    <row r="92" spans="1:14" x14ac:dyDescent="0.3">
      <c r="A92" s="16" t="s">
        <v>280</v>
      </c>
      <c r="B92" s="16" t="s">
        <v>179</v>
      </c>
      <c r="C92" s="16" t="s">
        <v>193</v>
      </c>
      <c r="D92" s="17">
        <v>515000</v>
      </c>
      <c r="E92" s="17">
        <v>4</v>
      </c>
      <c r="F92" s="17">
        <v>3.5</v>
      </c>
      <c r="G92" s="17">
        <v>2840</v>
      </c>
      <c r="H92" s="17">
        <v>1993</v>
      </c>
      <c r="I92" s="17">
        <v>135</v>
      </c>
      <c r="J92" s="16" t="s">
        <v>184</v>
      </c>
      <c r="K92" s="17">
        <v>181.34</v>
      </c>
      <c r="L92" s="17">
        <v>0.33900000000000002</v>
      </c>
      <c r="M92" s="17">
        <v>1</v>
      </c>
      <c r="N92" s="18">
        <v>45157</v>
      </c>
    </row>
    <row r="93" spans="1:14" x14ac:dyDescent="0.3">
      <c r="A93" s="16" t="s">
        <v>281</v>
      </c>
      <c r="B93" s="16" t="s">
        <v>192</v>
      </c>
      <c r="C93" s="16" t="s">
        <v>213</v>
      </c>
      <c r="D93" s="17">
        <v>645000</v>
      </c>
      <c r="E93" s="17">
        <v>5</v>
      </c>
      <c r="F93" s="17">
        <v>2.5</v>
      </c>
      <c r="G93" s="17">
        <v>1140</v>
      </c>
      <c r="H93" s="17">
        <v>2000</v>
      </c>
      <c r="I93" s="17">
        <v>179</v>
      </c>
      <c r="J93" s="16" t="s">
        <v>184</v>
      </c>
      <c r="K93" s="17">
        <v>565.79</v>
      </c>
      <c r="L93" s="17">
        <v>0.20399999999999999</v>
      </c>
      <c r="M93" s="17">
        <v>1</v>
      </c>
      <c r="N93" s="18">
        <v>45113</v>
      </c>
    </row>
    <row r="94" spans="1:14" x14ac:dyDescent="0.3">
      <c r="A94" s="16" t="s">
        <v>282</v>
      </c>
      <c r="B94" s="16" t="s">
        <v>179</v>
      </c>
      <c r="C94" s="16" t="s">
        <v>180</v>
      </c>
      <c r="D94" s="17">
        <v>395000</v>
      </c>
      <c r="E94" s="17">
        <v>2</v>
      </c>
      <c r="F94" s="17">
        <v>2</v>
      </c>
      <c r="G94" s="17">
        <v>1490</v>
      </c>
      <c r="H94" s="17">
        <v>1975</v>
      </c>
      <c r="I94" s="17">
        <v>42</v>
      </c>
      <c r="J94" s="16" t="s">
        <v>187</v>
      </c>
      <c r="K94" s="17">
        <v>265.10000000000002</v>
      </c>
      <c r="L94" s="17">
        <v>0.29899999999999999</v>
      </c>
      <c r="M94" s="17">
        <v>0</v>
      </c>
      <c r="N94" s="18">
        <v>45250</v>
      </c>
    </row>
    <row r="95" spans="1:14" x14ac:dyDescent="0.3">
      <c r="A95" s="16" t="s">
        <v>283</v>
      </c>
      <c r="B95" s="16" t="s">
        <v>186</v>
      </c>
      <c r="C95" s="16" t="s">
        <v>193</v>
      </c>
      <c r="D95" s="17">
        <v>451000</v>
      </c>
      <c r="E95" s="17">
        <v>3</v>
      </c>
      <c r="F95" s="17">
        <v>3</v>
      </c>
      <c r="G95" s="17">
        <v>1000</v>
      </c>
      <c r="H95" s="17">
        <v>1971</v>
      </c>
      <c r="I95" s="17">
        <v>15</v>
      </c>
      <c r="J95" s="16" t="s">
        <v>184</v>
      </c>
      <c r="K95" s="17">
        <v>451</v>
      </c>
      <c r="L95" s="17">
        <v>0.1</v>
      </c>
      <c r="M95" s="17">
        <v>2</v>
      </c>
      <c r="N95" s="18">
        <v>45277</v>
      </c>
    </row>
    <row r="96" spans="1:14" x14ac:dyDescent="0.3">
      <c r="A96" s="16" t="s">
        <v>284</v>
      </c>
      <c r="B96" s="16" t="s">
        <v>192</v>
      </c>
      <c r="C96" s="16" t="s">
        <v>213</v>
      </c>
      <c r="D96" s="17">
        <v>441000</v>
      </c>
      <c r="E96" s="17">
        <v>4</v>
      </c>
      <c r="F96" s="17">
        <v>2</v>
      </c>
      <c r="G96" s="17">
        <v>2040</v>
      </c>
      <c r="H96" s="17">
        <v>1989</v>
      </c>
      <c r="I96" s="17">
        <v>111</v>
      </c>
      <c r="J96" s="16" t="s">
        <v>184</v>
      </c>
      <c r="K96" s="17">
        <v>216.18</v>
      </c>
      <c r="L96" s="17">
        <v>0.38900000000000001</v>
      </c>
      <c r="M96" s="17">
        <v>2</v>
      </c>
      <c r="N96" s="18">
        <v>45181</v>
      </c>
    </row>
    <row r="97" spans="1:14" x14ac:dyDescent="0.3">
      <c r="A97" s="16" t="s">
        <v>285</v>
      </c>
      <c r="B97" s="16" t="s">
        <v>197</v>
      </c>
      <c r="C97" s="16" t="s">
        <v>189</v>
      </c>
      <c r="D97" s="17">
        <v>280000</v>
      </c>
      <c r="E97" s="17">
        <v>4</v>
      </c>
      <c r="F97" s="17">
        <v>3.5</v>
      </c>
      <c r="G97" s="17">
        <v>2630</v>
      </c>
      <c r="H97" s="17">
        <v>1997</v>
      </c>
      <c r="I97" s="17">
        <v>157</v>
      </c>
      <c r="J97" s="16" t="s">
        <v>187</v>
      </c>
      <c r="K97" s="17">
        <v>106.46</v>
      </c>
      <c r="L97" s="17">
        <v>0.222</v>
      </c>
      <c r="M97" s="17">
        <v>2</v>
      </c>
      <c r="N97" s="18">
        <v>45135</v>
      </c>
    </row>
    <row r="98" spans="1:14" x14ac:dyDescent="0.3">
      <c r="A98" s="16" t="s">
        <v>286</v>
      </c>
      <c r="B98" s="16" t="s">
        <v>179</v>
      </c>
      <c r="C98" s="16" t="s">
        <v>189</v>
      </c>
      <c r="D98" s="17">
        <v>544000</v>
      </c>
      <c r="E98" s="17">
        <v>4</v>
      </c>
      <c r="F98" s="17">
        <v>3</v>
      </c>
      <c r="G98" s="17">
        <v>3100</v>
      </c>
      <c r="H98" s="17">
        <v>1980</v>
      </c>
      <c r="I98" s="17">
        <v>33</v>
      </c>
      <c r="J98" s="16" t="s">
        <v>187</v>
      </c>
      <c r="K98" s="17">
        <v>175.48</v>
      </c>
      <c r="L98" s="17">
        <v>0.17199999999999999</v>
      </c>
      <c r="M98" s="17">
        <v>0</v>
      </c>
      <c r="N98" s="18">
        <v>45259</v>
      </c>
    </row>
    <row r="99" spans="1:14" x14ac:dyDescent="0.3">
      <c r="A99" s="16" t="s">
        <v>287</v>
      </c>
      <c r="B99" s="16" t="s">
        <v>197</v>
      </c>
      <c r="C99" s="16" t="s">
        <v>189</v>
      </c>
      <c r="D99" s="17">
        <v>539000</v>
      </c>
      <c r="E99" s="17">
        <v>4</v>
      </c>
      <c r="F99" s="17">
        <v>2.5</v>
      </c>
      <c r="G99" s="17">
        <v>2240</v>
      </c>
      <c r="H99" s="17">
        <v>1973</v>
      </c>
      <c r="I99" s="17">
        <v>155</v>
      </c>
      <c r="J99" s="16" t="s">
        <v>181</v>
      </c>
      <c r="K99" s="17">
        <v>240.62</v>
      </c>
      <c r="L99" s="17">
        <v>0.40699999999999997</v>
      </c>
      <c r="M99" s="17">
        <v>2</v>
      </c>
      <c r="N99" s="18">
        <v>45137</v>
      </c>
    </row>
    <row r="100" spans="1:14" x14ac:dyDescent="0.3">
      <c r="A100" s="16" t="s">
        <v>288</v>
      </c>
      <c r="B100" s="16" t="s">
        <v>179</v>
      </c>
      <c r="C100" s="16" t="s">
        <v>183</v>
      </c>
      <c r="D100" s="17">
        <v>501000</v>
      </c>
      <c r="E100" s="17">
        <v>3</v>
      </c>
      <c r="F100" s="17">
        <v>3</v>
      </c>
      <c r="G100" s="17">
        <v>3180</v>
      </c>
      <c r="H100" s="17">
        <v>1984</v>
      </c>
      <c r="I100" s="17">
        <v>164</v>
      </c>
      <c r="J100" s="16" t="s">
        <v>184</v>
      </c>
      <c r="K100" s="17">
        <v>157.55000000000001</v>
      </c>
      <c r="L100" s="17">
        <v>0.14399999999999999</v>
      </c>
      <c r="M100" s="17">
        <v>2</v>
      </c>
      <c r="N100" s="18">
        <v>45128</v>
      </c>
    </row>
    <row r="101" spans="1:14" x14ac:dyDescent="0.3">
      <c r="A101" s="16" t="s">
        <v>289</v>
      </c>
      <c r="B101" s="16" t="s">
        <v>192</v>
      </c>
      <c r="C101" s="16" t="s">
        <v>180</v>
      </c>
      <c r="D101" s="17">
        <v>465000</v>
      </c>
      <c r="E101" s="17">
        <v>3</v>
      </c>
      <c r="F101" s="17">
        <v>3</v>
      </c>
      <c r="G101" s="17">
        <v>1370</v>
      </c>
      <c r="H101" s="17">
        <v>1975</v>
      </c>
      <c r="I101" s="17">
        <v>157</v>
      </c>
      <c r="J101" s="16" t="s">
        <v>187</v>
      </c>
      <c r="K101" s="17">
        <v>339.42</v>
      </c>
      <c r="L101" s="17">
        <v>0.1</v>
      </c>
      <c r="M101" s="17">
        <v>2</v>
      </c>
      <c r="N101" s="18">
        <v>45135</v>
      </c>
    </row>
    <row r="102" spans="1:14" x14ac:dyDescent="0.3">
      <c r="A102" s="16" t="s">
        <v>290</v>
      </c>
      <c r="B102" s="16" t="s">
        <v>197</v>
      </c>
      <c r="C102" s="16" t="s">
        <v>193</v>
      </c>
      <c r="D102" s="17">
        <v>288000</v>
      </c>
      <c r="E102" s="17">
        <v>4</v>
      </c>
      <c r="F102" s="17">
        <v>2</v>
      </c>
      <c r="G102" s="17">
        <v>1180</v>
      </c>
      <c r="H102" s="17">
        <v>2023</v>
      </c>
      <c r="I102" s="17">
        <v>38</v>
      </c>
      <c r="J102" s="16" t="s">
        <v>187</v>
      </c>
      <c r="K102" s="17">
        <v>244.07</v>
      </c>
      <c r="L102" s="17">
        <v>0.1</v>
      </c>
      <c r="M102" s="17">
        <v>2</v>
      </c>
      <c r="N102" s="18">
        <v>45254</v>
      </c>
    </row>
    <row r="103" spans="1:14" x14ac:dyDescent="0.3">
      <c r="A103" s="16" t="s">
        <v>291</v>
      </c>
      <c r="B103" s="16" t="s">
        <v>192</v>
      </c>
      <c r="C103" s="16" t="s">
        <v>213</v>
      </c>
      <c r="D103" s="17">
        <v>437000</v>
      </c>
      <c r="E103" s="17">
        <v>4</v>
      </c>
      <c r="F103" s="17">
        <v>3.5</v>
      </c>
      <c r="G103" s="17">
        <v>2170</v>
      </c>
      <c r="H103" s="17">
        <v>2018</v>
      </c>
      <c r="I103" s="17">
        <v>97</v>
      </c>
      <c r="J103" s="16" t="s">
        <v>181</v>
      </c>
      <c r="K103" s="17">
        <v>201.38</v>
      </c>
      <c r="L103" s="17">
        <v>0.34100000000000003</v>
      </c>
      <c r="M103" s="17">
        <v>2</v>
      </c>
      <c r="N103" s="18">
        <v>45195</v>
      </c>
    </row>
    <row r="104" spans="1:14" x14ac:dyDescent="0.3">
      <c r="A104" s="16" t="s">
        <v>292</v>
      </c>
      <c r="B104" s="16" t="s">
        <v>192</v>
      </c>
      <c r="C104" s="16" t="s">
        <v>213</v>
      </c>
      <c r="D104" s="17">
        <v>449000</v>
      </c>
      <c r="E104" s="17">
        <v>4</v>
      </c>
      <c r="F104" s="17">
        <v>2.5</v>
      </c>
      <c r="G104" s="17">
        <v>2430</v>
      </c>
      <c r="H104" s="17">
        <v>1999</v>
      </c>
      <c r="I104" s="17">
        <v>155</v>
      </c>
      <c r="J104" s="16" t="s">
        <v>187</v>
      </c>
      <c r="K104" s="17">
        <v>184.77</v>
      </c>
      <c r="L104" s="17">
        <v>0.1</v>
      </c>
      <c r="M104" s="17">
        <v>2</v>
      </c>
      <c r="N104" s="18">
        <v>45137</v>
      </c>
    </row>
    <row r="105" spans="1:14" x14ac:dyDescent="0.3">
      <c r="A105" s="16" t="s">
        <v>293</v>
      </c>
      <c r="B105" s="16" t="s">
        <v>192</v>
      </c>
      <c r="C105" s="16" t="s">
        <v>180</v>
      </c>
      <c r="D105" s="17">
        <v>380000</v>
      </c>
      <c r="E105" s="17">
        <v>5</v>
      </c>
      <c r="F105" s="17">
        <v>3</v>
      </c>
      <c r="G105" s="17">
        <v>2180</v>
      </c>
      <c r="H105" s="17">
        <v>2007</v>
      </c>
      <c r="I105" s="17">
        <v>33</v>
      </c>
      <c r="J105" s="16" t="s">
        <v>184</v>
      </c>
      <c r="K105" s="17">
        <v>174.31</v>
      </c>
      <c r="L105" s="17">
        <v>0.51300000000000001</v>
      </c>
      <c r="M105" s="17">
        <v>2</v>
      </c>
      <c r="N105" s="18">
        <v>45259</v>
      </c>
    </row>
    <row r="106" spans="1:14" x14ac:dyDescent="0.3">
      <c r="A106" s="16" t="s">
        <v>294</v>
      </c>
      <c r="B106" s="16" t="s">
        <v>179</v>
      </c>
      <c r="C106" s="16" t="s">
        <v>183</v>
      </c>
      <c r="D106" s="17">
        <v>476000</v>
      </c>
      <c r="E106" s="17">
        <v>3</v>
      </c>
      <c r="F106" s="17">
        <v>2</v>
      </c>
      <c r="G106" s="17">
        <v>1000</v>
      </c>
      <c r="H106" s="17">
        <v>2020</v>
      </c>
      <c r="I106" s="17">
        <v>86</v>
      </c>
      <c r="J106" s="16" t="s">
        <v>184</v>
      </c>
      <c r="K106" s="17">
        <v>476</v>
      </c>
      <c r="L106" s="17">
        <v>0.1</v>
      </c>
      <c r="M106" s="17">
        <v>1</v>
      </c>
      <c r="N106" s="18">
        <v>45206</v>
      </c>
    </row>
    <row r="107" spans="1:14" x14ac:dyDescent="0.3">
      <c r="A107" s="16" t="s">
        <v>295</v>
      </c>
      <c r="B107" s="16" t="s">
        <v>197</v>
      </c>
      <c r="C107" s="16" t="s">
        <v>213</v>
      </c>
      <c r="D107" s="17">
        <v>561000</v>
      </c>
      <c r="E107" s="17">
        <v>3</v>
      </c>
      <c r="F107" s="17">
        <v>3</v>
      </c>
      <c r="G107" s="17">
        <v>2150</v>
      </c>
      <c r="H107" s="17">
        <v>1971</v>
      </c>
      <c r="I107" s="17">
        <v>66</v>
      </c>
      <c r="J107" s="16" t="s">
        <v>187</v>
      </c>
      <c r="K107" s="17">
        <v>260.93</v>
      </c>
      <c r="L107" s="17">
        <v>0.504</v>
      </c>
      <c r="M107" s="17">
        <v>0</v>
      </c>
      <c r="N107" s="18">
        <v>45226</v>
      </c>
    </row>
    <row r="108" spans="1:14" x14ac:dyDescent="0.3">
      <c r="A108" s="16" t="s">
        <v>296</v>
      </c>
      <c r="B108" s="16" t="s">
        <v>192</v>
      </c>
      <c r="C108" s="16" t="s">
        <v>193</v>
      </c>
      <c r="D108" s="17">
        <v>783000</v>
      </c>
      <c r="E108" s="17">
        <v>4</v>
      </c>
      <c r="F108" s="17">
        <v>2</v>
      </c>
      <c r="G108" s="17">
        <v>1420</v>
      </c>
      <c r="H108" s="17">
        <v>1984</v>
      </c>
      <c r="I108" s="17">
        <v>10</v>
      </c>
      <c r="J108" s="16" t="s">
        <v>181</v>
      </c>
      <c r="K108" s="17">
        <v>551.41</v>
      </c>
      <c r="L108" s="17">
        <v>0.28199999999999997</v>
      </c>
      <c r="M108" s="17">
        <v>2</v>
      </c>
      <c r="N108" s="18">
        <v>45282</v>
      </c>
    </row>
    <row r="109" spans="1:14" x14ac:dyDescent="0.3">
      <c r="A109" s="16" t="s">
        <v>297</v>
      </c>
      <c r="B109" s="16" t="s">
        <v>186</v>
      </c>
      <c r="C109" s="16" t="s">
        <v>193</v>
      </c>
      <c r="D109" s="17">
        <v>526000</v>
      </c>
      <c r="E109" s="17">
        <v>4</v>
      </c>
      <c r="F109" s="17">
        <v>1</v>
      </c>
      <c r="G109" s="17">
        <v>2600</v>
      </c>
      <c r="H109" s="17">
        <v>1980</v>
      </c>
      <c r="I109" s="17">
        <v>5</v>
      </c>
      <c r="J109" s="16" t="s">
        <v>187</v>
      </c>
      <c r="K109" s="17">
        <v>202.31</v>
      </c>
      <c r="L109" s="17">
        <v>0.23499999999999999</v>
      </c>
      <c r="M109" s="17">
        <v>0</v>
      </c>
      <c r="N109" s="18">
        <v>45287</v>
      </c>
    </row>
    <row r="110" spans="1:14" x14ac:dyDescent="0.3">
      <c r="A110" s="16" t="s">
        <v>298</v>
      </c>
      <c r="B110" s="16" t="s">
        <v>197</v>
      </c>
      <c r="C110" s="16" t="s">
        <v>193</v>
      </c>
      <c r="D110" s="17">
        <v>539000</v>
      </c>
      <c r="E110" s="17">
        <v>4</v>
      </c>
      <c r="F110" s="17">
        <v>3.5</v>
      </c>
      <c r="G110" s="17">
        <v>2420</v>
      </c>
      <c r="H110" s="17">
        <v>1977</v>
      </c>
      <c r="I110" s="17">
        <v>123</v>
      </c>
      <c r="J110" s="16" t="s">
        <v>187</v>
      </c>
      <c r="K110" s="17">
        <v>222.73</v>
      </c>
      <c r="L110" s="17">
        <v>0.16800000000000001</v>
      </c>
      <c r="M110" s="17">
        <v>2</v>
      </c>
      <c r="N110" s="18">
        <v>45169</v>
      </c>
    </row>
    <row r="111" spans="1:14" x14ac:dyDescent="0.3">
      <c r="A111" s="16" t="s">
        <v>299</v>
      </c>
      <c r="B111" s="16" t="s">
        <v>197</v>
      </c>
      <c r="C111" s="16" t="s">
        <v>193</v>
      </c>
      <c r="D111" s="17">
        <v>489000</v>
      </c>
      <c r="E111" s="17">
        <v>4</v>
      </c>
      <c r="F111" s="17">
        <v>1</v>
      </c>
      <c r="G111" s="17">
        <v>1640</v>
      </c>
      <c r="H111" s="17">
        <v>1995</v>
      </c>
      <c r="I111" s="17">
        <v>74</v>
      </c>
      <c r="J111" s="16" t="s">
        <v>187</v>
      </c>
      <c r="K111" s="17">
        <v>298.17</v>
      </c>
      <c r="L111" s="17">
        <v>0.31</v>
      </c>
      <c r="M111" s="17">
        <v>2</v>
      </c>
      <c r="N111" s="18">
        <v>45218</v>
      </c>
    </row>
    <row r="112" spans="1:14" x14ac:dyDescent="0.3">
      <c r="A112" s="16" t="s">
        <v>300</v>
      </c>
      <c r="B112" s="16" t="s">
        <v>186</v>
      </c>
      <c r="C112" s="16" t="s">
        <v>189</v>
      </c>
      <c r="D112" s="17">
        <v>250000</v>
      </c>
      <c r="E112" s="17">
        <v>4</v>
      </c>
      <c r="F112" s="17">
        <v>2</v>
      </c>
      <c r="G112" s="17">
        <v>1890</v>
      </c>
      <c r="H112" s="17">
        <v>2020</v>
      </c>
      <c r="I112" s="17">
        <v>97</v>
      </c>
      <c r="J112" s="16" t="s">
        <v>181</v>
      </c>
      <c r="K112" s="17">
        <v>132.28</v>
      </c>
      <c r="L112" s="17">
        <v>0.24399999999999999</v>
      </c>
      <c r="M112" s="17">
        <v>3</v>
      </c>
      <c r="N112" s="18">
        <v>45195</v>
      </c>
    </row>
    <row r="113" spans="1:14" x14ac:dyDescent="0.3">
      <c r="A113" s="16" t="s">
        <v>301</v>
      </c>
      <c r="B113" s="16" t="s">
        <v>186</v>
      </c>
      <c r="C113" s="16" t="s">
        <v>183</v>
      </c>
      <c r="D113" s="17">
        <v>496000</v>
      </c>
      <c r="E113" s="17">
        <v>3</v>
      </c>
      <c r="F113" s="17">
        <v>3.5</v>
      </c>
      <c r="G113" s="17">
        <v>1560</v>
      </c>
      <c r="H113" s="17">
        <v>2014</v>
      </c>
      <c r="I113" s="17">
        <v>118</v>
      </c>
      <c r="J113" s="16" t="s">
        <v>187</v>
      </c>
      <c r="K113" s="17">
        <v>317.95</v>
      </c>
      <c r="L113" s="17">
        <v>0.41499999999999998</v>
      </c>
      <c r="M113" s="17">
        <v>2</v>
      </c>
      <c r="N113" s="18">
        <v>45174</v>
      </c>
    </row>
    <row r="114" spans="1:14" x14ac:dyDescent="0.3">
      <c r="A114" s="16" t="s">
        <v>302</v>
      </c>
      <c r="B114" s="16" t="s">
        <v>197</v>
      </c>
      <c r="C114" s="16" t="s">
        <v>183</v>
      </c>
      <c r="D114" s="17">
        <v>509000</v>
      </c>
      <c r="E114" s="17">
        <v>3</v>
      </c>
      <c r="F114" s="17">
        <v>3.5</v>
      </c>
      <c r="G114" s="17">
        <v>2160</v>
      </c>
      <c r="H114" s="17">
        <v>2013</v>
      </c>
      <c r="I114" s="17">
        <v>38</v>
      </c>
      <c r="J114" s="16" t="s">
        <v>187</v>
      </c>
      <c r="K114" s="17">
        <v>235.65</v>
      </c>
      <c r="L114" s="17">
        <v>0.26700000000000002</v>
      </c>
      <c r="M114" s="17">
        <v>3</v>
      </c>
      <c r="N114" s="18">
        <v>45254</v>
      </c>
    </row>
    <row r="115" spans="1:14" x14ac:dyDescent="0.3">
      <c r="A115" s="16" t="s">
        <v>303</v>
      </c>
      <c r="B115" s="16" t="s">
        <v>192</v>
      </c>
      <c r="C115" s="16" t="s">
        <v>183</v>
      </c>
      <c r="D115" s="17">
        <v>869000</v>
      </c>
      <c r="E115" s="17">
        <v>2</v>
      </c>
      <c r="F115" s="17">
        <v>2.5</v>
      </c>
      <c r="G115" s="17">
        <v>2770</v>
      </c>
      <c r="H115" s="17">
        <v>1974</v>
      </c>
      <c r="I115" s="17">
        <v>141</v>
      </c>
      <c r="J115" s="16" t="s">
        <v>187</v>
      </c>
      <c r="K115" s="17">
        <v>313.72000000000003</v>
      </c>
      <c r="L115" s="17">
        <v>0.27300000000000002</v>
      </c>
      <c r="M115" s="17">
        <v>2</v>
      </c>
      <c r="N115" s="18">
        <v>45151</v>
      </c>
    </row>
    <row r="116" spans="1:14" x14ac:dyDescent="0.3">
      <c r="A116" s="16" t="s">
        <v>304</v>
      </c>
      <c r="B116" s="16" t="s">
        <v>179</v>
      </c>
      <c r="C116" s="16" t="s">
        <v>189</v>
      </c>
      <c r="D116" s="17">
        <v>471000</v>
      </c>
      <c r="E116" s="17">
        <v>3</v>
      </c>
      <c r="F116" s="17">
        <v>2.5</v>
      </c>
      <c r="G116" s="17">
        <v>1610</v>
      </c>
      <c r="H116" s="17">
        <v>1975</v>
      </c>
      <c r="I116" s="17">
        <v>159</v>
      </c>
      <c r="J116" s="16" t="s">
        <v>184</v>
      </c>
      <c r="K116" s="17">
        <v>292.55</v>
      </c>
      <c r="L116" s="17">
        <v>0.19500000000000001</v>
      </c>
      <c r="M116" s="17">
        <v>2</v>
      </c>
      <c r="N116" s="18">
        <v>45133</v>
      </c>
    </row>
    <row r="117" spans="1:14" x14ac:dyDescent="0.3">
      <c r="A117" s="16" t="s">
        <v>305</v>
      </c>
      <c r="B117" s="16" t="s">
        <v>179</v>
      </c>
      <c r="C117" s="16" t="s">
        <v>189</v>
      </c>
      <c r="D117" s="17">
        <v>545000</v>
      </c>
      <c r="E117" s="17">
        <v>2</v>
      </c>
      <c r="F117" s="17">
        <v>2.5</v>
      </c>
      <c r="G117" s="17">
        <v>2500</v>
      </c>
      <c r="H117" s="17">
        <v>1995</v>
      </c>
      <c r="I117" s="17">
        <v>47</v>
      </c>
      <c r="J117" s="16" t="s">
        <v>184</v>
      </c>
      <c r="K117" s="17">
        <v>218</v>
      </c>
      <c r="L117" s="17">
        <v>0.24099999999999999</v>
      </c>
      <c r="M117" s="17">
        <v>2</v>
      </c>
      <c r="N117" s="18">
        <v>45245</v>
      </c>
    </row>
    <row r="118" spans="1:14" x14ac:dyDescent="0.3">
      <c r="A118" s="16" t="s">
        <v>306</v>
      </c>
      <c r="B118" s="16" t="s">
        <v>186</v>
      </c>
      <c r="C118" s="16" t="s">
        <v>183</v>
      </c>
      <c r="D118" s="17">
        <v>495000</v>
      </c>
      <c r="E118" s="17">
        <v>3</v>
      </c>
      <c r="F118" s="17">
        <v>2</v>
      </c>
      <c r="G118" s="17">
        <v>1880</v>
      </c>
      <c r="H118" s="17">
        <v>2023</v>
      </c>
      <c r="I118" s="17">
        <v>109</v>
      </c>
      <c r="J118" s="16" t="s">
        <v>181</v>
      </c>
      <c r="K118" s="17">
        <v>263.3</v>
      </c>
      <c r="L118" s="17">
        <v>0.29599999999999999</v>
      </c>
      <c r="M118" s="17">
        <v>2</v>
      </c>
      <c r="N118" s="18">
        <v>45183</v>
      </c>
    </row>
    <row r="119" spans="1:14" x14ac:dyDescent="0.3">
      <c r="A119" s="16" t="s">
        <v>307</v>
      </c>
      <c r="B119" s="16" t="s">
        <v>186</v>
      </c>
      <c r="C119" s="16" t="s">
        <v>189</v>
      </c>
      <c r="D119" s="17">
        <v>325000</v>
      </c>
      <c r="E119" s="17">
        <v>3</v>
      </c>
      <c r="F119" s="17">
        <v>2</v>
      </c>
      <c r="G119" s="17">
        <v>1720</v>
      </c>
      <c r="H119" s="17">
        <v>1973</v>
      </c>
      <c r="I119" s="17">
        <v>15</v>
      </c>
      <c r="J119" s="16" t="s">
        <v>187</v>
      </c>
      <c r="K119" s="17">
        <v>188.95</v>
      </c>
      <c r="L119" s="17">
        <v>0.1</v>
      </c>
      <c r="M119" s="17">
        <v>2</v>
      </c>
      <c r="N119" s="18">
        <v>45277</v>
      </c>
    </row>
    <row r="120" spans="1:14" x14ac:dyDescent="0.3">
      <c r="A120" s="16" t="s">
        <v>308</v>
      </c>
      <c r="B120" s="16" t="s">
        <v>186</v>
      </c>
      <c r="C120" s="16" t="s">
        <v>189</v>
      </c>
      <c r="D120" s="17">
        <v>671000</v>
      </c>
      <c r="E120" s="17">
        <v>3</v>
      </c>
      <c r="F120" s="17">
        <v>2.5</v>
      </c>
      <c r="G120" s="17">
        <v>2140</v>
      </c>
      <c r="H120" s="17">
        <v>1988</v>
      </c>
      <c r="I120" s="17">
        <v>157</v>
      </c>
      <c r="J120" s="16" t="s">
        <v>181</v>
      </c>
      <c r="K120" s="17">
        <v>313.55</v>
      </c>
      <c r="L120" s="17">
        <v>0.1</v>
      </c>
      <c r="M120" s="17">
        <v>2</v>
      </c>
      <c r="N120" s="18">
        <v>45135</v>
      </c>
    </row>
    <row r="121" spans="1:14" x14ac:dyDescent="0.3">
      <c r="A121" s="16" t="s">
        <v>309</v>
      </c>
      <c r="B121" s="16" t="s">
        <v>197</v>
      </c>
      <c r="C121" s="16" t="s">
        <v>213</v>
      </c>
      <c r="D121" s="17">
        <v>613000</v>
      </c>
      <c r="E121" s="17">
        <v>3</v>
      </c>
      <c r="F121" s="17">
        <v>3</v>
      </c>
      <c r="G121" s="17">
        <v>1580</v>
      </c>
      <c r="H121" s="17">
        <v>1989</v>
      </c>
      <c r="I121" s="17">
        <v>136</v>
      </c>
      <c r="J121" s="16" t="s">
        <v>184</v>
      </c>
      <c r="K121" s="17">
        <v>387.97</v>
      </c>
      <c r="L121" s="17">
        <v>0.36099999999999999</v>
      </c>
      <c r="M121" s="17">
        <v>3</v>
      </c>
      <c r="N121" s="18">
        <v>45156</v>
      </c>
    </row>
    <row r="122" spans="1:14" x14ac:dyDescent="0.3">
      <c r="A122" s="16" t="s">
        <v>310</v>
      </c>
      <c r="B122" s="16" t="s">
        <v>179</v>
      </c>
      <c r="C122" s="16" t="s">
        <v>180</v>
      </c>
      <c r="D122" s="17">
        <v>619000</v>
      </c>
      <c r="E122" s="17">
        <v>2</v>
      </c>
      <c r="F122" s="17">
        <v>3</v>
      </c>
      <c r="G122" s="17">
        <v>1870</v>
      </c>
      <c r="H122" s="17">
        <v>2002</v>
      </c>
      <c r="I122" s="17">
        <v>5</v>
      </c>
      <c r="J122" s="16" t="s">
        <v>184</v>
      </c>
      <c r="K122" s="17">
        <v>331.02</v>
      </c>
      <c r="L122" s="17">
        <v>0.27600000000000002</v>
      </c>
      <c r="M122" s="17">
        <v>2</v>
      </c>
      <c r="N122" s="18">
        <v>45287</v>
      </c>
    </row>
    <row r="123" spans="1:14" x14ac:dyDescent="0.3">
      <c r="A123" s="16" t="s">
        <v>311</v>
      </c>
      <c r="B123" s="16" t="s">
        <v>186</v>
      </c>
      <c r="C123" s="16" t="s">
        <v>180</v>
      </c>
      <c r="D123" s="17">
        <v>364000</v>
      </c>
      <c r="E123" s="17">
        <v>2</v>
      </c>
      <c r="F123" s="17">
        <v>3</v>
      </c>
      <c r="G123" s="17">
        <v>1480</v>
      </c>
      <c r="H123" s="17">
        <v>1989</v>
      </c>
      <c r="I123" s="17">
        <v>157</v>
      </c>
      <c r="J123" s="16" t="s">
        <v>181</v>
      </c>
      <c r="K123" s="17">
        <v>245.95</v>
      </c>
      <c r="L123" s="17">
        <v>0.222</v>
      </c>
      <c r="M123" s="17">
        <v>2</v>
      </c>
      <c r="N123" s="18">
        <v>45135</v>
      </c>
    </row>
    <row r="124" spans="1:14" x14ac:dyDescent="0.3">
      <c r="A124" s="16" t="s">
        <v>312</v>
      </c>
      <c r="B124" s="16" t="s">
        <v>192</v>
      </c>
      <c r="C124" s="16" t="s">
        <v>213</v>
      </c>
      <c r="D124" s="17">
        <v>710000</v>
      </c>
      <c r="E124" s="17">
        <v>4</v>
      </c>
      <c r="F124" s="17">
        <v>1</v>
      </c>
      <c r="G124" s="17">
        <v>3380</v>
      </c>
      <c r="H124" s="17">
        <v>2018</v>
      </c>
      <c r="I124" s="17">
        <v>47</v>
      </c>
      <c r="J124" s="16" t="s">
        <v>187</v>
      </c>
      <c r="K124" s="17">
        <v>210.06</v>
      </c>
      <c r="L124" s="17">
        <v>0.253</v>
      </c>
      <c r="M124" s="17">
        <v>2</v>
      </c>
      <c r="N124" s="18">
        <v>45245</v>
      </c>
    </row>
    <row r="125" spans="1:14" x14ac:dyDescent="0.3">
      <c r="A125" s="16" t="s">
        <v>313</v>
      </c>
      <c r="B125" s="16" t="s">
        <v>186</v>
      </c>
      <c r="C125" s="16" t="s">
        <v>193</v>
      </c>
      <c r="D125" s="17">
        <v>290000</v>
      </c>
      <c r="E125" s="17">
        <v>3</v>
      </c>
      <c r="F125" s="17">
        <v>2.5</v>
      </c>
      <c r="G125" s="17">
        <v>2220</v>
      </c>
      <c r="H125" s="17">
        <v>1981</v>
      </c>
      <c r="I125" s="17">
        <v>68</v>
      </c>
      <c r="J125" s="16" t="s">
        <v>187</v>
      </c>
      <c r="K125" s="17">
        <v>130.63</v>
      </c>
      <c r="L125" s="17">
        <v>0.30199999999999999</v>
      </c>
      <c r="M125" s="17">
        <v>2</v>
      </c>
      <c r="N125" s="18">
        <v>45224</v>
      </c>
    </row>
    <row r="126" spans="1:14" x14ac:dyDescent="0.3">
      <c r="A126" s="16" t="s">
        <v>314</v>
      </c>
      <c r="B126" s="16" t="s">
        <v>179</v>
      </c>
      <c r="C126" s="16" t="s">
        <v>183</v>
      </c>
      <c r="D126" s="17">
        <v>588000</v>
      </c>
      <c r="E126" s="17">
        <v>2</v>
      </c>
      <c r="F126" s="17">
        <v>1</v>
      </c>
      <c r="G126" s="17">
        <v>1780</v>
      </c>
      <c r="H126" s="17">
        <v>2016</v>
      </c>
      <c r="I126" s="17">
        <v>76</v>
      </c>
      <c r="J126" s="16" t="s">
        <v>184</v>
      </c>
      <c r="K126" s="17">
        <v>330.34</v>
      </c>
      <c r="L126" s="17">
        <v>0.16900000000000001</v>
      </c>
      <c r="M126" s="17">
        <v>1</v>
      </c>
      <c r="N126" s="18">
        <v>45216</v>
      </c>
    </row>
    <row r="127" spans="1:14" x14ac:dyDescent="0.3">
      <c r="A127" s="16" t="s">
        <v>315</v>
      </c>
      <c r="B127" s="16" t="s">
        <v>186</v>
      </c>
      <c r="C127" s="16" t="s">
        <v>213</v>
      </c>
      <c r="D127" s="17">
        <v>829000</v>
      </c>
      <c r="E127" s="17">
        <v>3</v>
      </c>
      <c r="F127" s="17">
        <v>2.5</v>
      </c>
      <c r="G127" s="17">
        <v>2330</v>
      </c>
      <c r="H127" s="17">
        <v>1970</v>
      </c>
      <c r="I127" s="17">
        <v>173</v>
      </c>
      <c r="J127" s="16" t="s">
        <v>187</v>
      </c>
      <c r="K127" s="17">
        <v>355.79</v>
      </c>
      <c r="L127" s="17">
        <v>0.13300000000000001</v>
      </c>
      <c r="M127" s="17">
        <v>1</v>
      </c>
      <c r="N127" s="18">
        <v>45119</v>
      </c>
    </row>
    <row r="128" spans="1:14" x14ac:dyDescent="0.3">
      <c r="A128" s="16" t="s">
        <v>316</v>
      </c>
      <c r="B128" s="16" t="s">
        <v>179</v>
      </c>
      <c r="C128" s="16" t="s">
        <v>213</v>
      </c>
      <c r="D128" s="17">
        <v>351000</v>
      </c>
      <c r="E128" s="17">
        <v>4</v>
      </c>
      <c r="F128" s="17">
        <v>2.5</v>
      </c>
      <c r="G128" s="17">
        <v>2130</v>
      </c>
      <c r="H128" s="17">
        <v>1995</v>
      </c>
      <c r="I128" s="17">
        <v>130</v>
      </c>
      <c r="J128" s="16" t="s">
        <v>187</v>
      </c>
      <c r="K128" s="17">
        <v>164.79</v>
      </c>
      <c r="L128" s="17">
        <v>0.27900000000000003</v>
      </c>
      <c r="M128" s="17">
        <v>2</v>
      </c>
      <c r="N128" s="18">
        <v>45162</v>
      </c>
    </row>
    <row r="129" spans="1:14" x14ac:dyDescent="0.3">
      <c r="A129" s="16" t="s">
        <v>317</v>
      </c>
      <c r="B129" s="16" t="s">
        <v>192</v>
      </c>
      <c r="C129" s="16" t="s">
        <v>183</v>
      </c>
      <c r="D129" s="17">
        <v>415000</v>
      </c>
      <c r="E129" s="17">
        <v>3</v>
      </c>
      <c r="F129" s="17">
        <v>3</v>
      </c>
      <c r="G129" s="17">
        <v>2070</v>
      </c>
      <c r="H129" s="17">
        <v>1983</v>
      </c>
      <c r="I129" s="17">
        <v>155</v>
      </c>
      <c r="J129" s="16" t="s">
        <v>181</v>
      </c>
      <c r="K129" s="17">
        <v>200.48</v>
      </c>
      <c r="L129" s="17">
        <v>0.10299999999999999</v>
      </c>
      <c r="M129" s="17">
        <v>1</v>
      </c>
      <c r="N129" s="18">
        <v>45137</v>
      </c>
    </row>
    <row r="130" spans="1:14" x14ac:dyDescent="0.3">
      <c r="A130" s="16" t="s">
        <v>318</v>
      </c>
      <c r="B130" s="16" t="s">
        <v>179</v>
      </c>
      <c r="C130" s="16" t="s">
        <v>180</v>
      </c>
      <c r="D130" s="17">
        <v>515000</v>
      </c>
      <c r="E130" s="17">
        <v>4</v>
      </c>
      <c r="F130" s="17">
        <v>2</v>
      </c>
      <c r="G130" s="17">
        <v>2570</v>
      </c>
      <c r="H130" s="17">
        <v>2007</v>
      </c>
      <c r="I130" s="17">
        <v>95</v>
      </c>
      <c r="J130" s="16" t="s">
        <v>184</v>
      </c>
      <c r="K130" s="17">
        <v>200.39</v>
      </c>
      <c r="L130" s="17">
        <v>0.311</v>
      </c>
      <c r="M130" s="17">
        <v>1</v>
      </c>
      <c r="N130" s="18">
        <v>45197</v>
      </c>
    </row>
    <row r="131" spans="1:14" x14ac:dyDescent="0.3">
      <c r="A131" s="16" t="s">
        <v>319</v>
      </c>
      <c r="B131" s="16" t="s">
        <v>197</v>
      </c>
      <c r="C131" s="16" t="s">
        <v>183</v>
      </c>
      <c r="D131" s="17">
        <v>424000</v>
      </c>
      <c r="E131" s="17">
        <v>2</v>
      </c>
      <c r="F131" s="17">
        <v>2</v>
      </c>
      <c r="G131" s="17">
        <v>2650</v>
      </c>
      <c r="H131" s="17">
        <v>2006</v>
      </c>
      <c r="I131" s="17">
        <v>115</v>
      </c>
      <c r="J131" s="16" t="s">
        <v>184</v>
      </c>
      <c r="K131" s="17">
        <v>160</v>
      </c>
      <c r="L131" s="17">
        <v>0.1</v>
      </c>
      <c r="M131" s="17">
        <v>1</v>
      </c>
      <c r="N131" s="18">
        <v>45177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Tasks - 1</vt:lpstr>
      <vt:lpstr>pivot 1</vt:lpstr>
      <vt:lpstr>pivot 2</vt:lpstr>
      <vt:lpstr>Sales Data (For Tasks-1)</vt:lpstr>
      <vt:lpstr>Employee Data (For Tasks-1)</vt:lpstr>
      <vt:lpstr>Tasks - 2</vt:lpstr>
      <vt:lpstr>pivot 3</vt:lpstr>
      <vt:lpstr>Real Estate Listing Data (For 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Bhesania</cp:lastModifiedBy>
  <dcterms:modified xsi:type="dcterms:W3CDTF">2026-04-21T05:25:38Z</dcterms:modified>
</cp:coreProperties>
</file>