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bd11af68ae4c0ef/Desktop/Lab  work/"/>
    </mc:Choice>
  </mc:AlternateContent>
  <xr:revisionPtr revIDLastSave="263" documentId="11_B33315773B78BA20E0A82F31653756C300260970" xr6:coauthVersionLast="47" xr6:coauthVersionMax="47" xr10:uidLastSave="{B0EC6C14-F78D-4889-95DE-E8C5D5FABE95}"/>
  <bookViews>
    <workbookView xWindow="-108" yWindow="-108" windowWidth="23256" windowHeight="12456" firstSheet="5" activeTab="7" xr2:uid="{00000000-000D-0000-FFFF-FFFF00000000}"/>
  </bookViews>
  <sheets>
    <sheet name="Custom Formatting" sheetId="1" r:id="rId1"/>
    <sheet name="Create Timestamp" sheetId="2" r:id="rId2"/>
    <sheet name="pivot 1" sheetId="6" r:id="rId3"/>
    <sheet name="GROUPBY Function" sheetId="3" r:id="rId4"/>
    <sheet name="Other Useful Functions" sheetId="4" r:id="rId5"/>
    <sheet name="pivot 2" sheetId="7" r:id="rId6"/>
    <sheet name="PIVOT 3" sheetId="9" r:id="rId7"/>
    <sheet name="Advanced Descriptive Analytics" sheetId="5" r:id="rId8"/>
  </sheets>
  <definedNames>
    <definedName name="_xlchart.v1.0" hidden="1">'Advanced Descriptive Analytics'!$G$2:$G$21</definedName>
    <definedName name="_xlchart.v1.1" hidden="1">'Advanced Descriptive Analytics'!$G$2:$G$21</definedName>
  </definedNames>
  <calcPr calcId="191029" iterate="1"/>
  <pivotCaches>
    <pivotCache cacheId="4" r:id="rId9"/>
    <pivotCache cacheId="22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5" l="1"/>
  <c r="D18" i="5"/>
  <c r="D17" i="5"/>
  <c r="D16" i="5"/>
  <c r="D14" i="5"/>
  <c r="D13" i="5"/>
  <c r="D11" i="5"/>
  <c r="D10" i="5"/>
  <c r="D9" i="5"/>
  <c r="D25" i="4" a="1"/>
  <c r="D25" i="4" s="1"/>
  <c r="C25" i="4" a="1"/>
  <c r="C25" i="4" s="1"/>
  <c r="C19" i="4" a="1"/>
  <c r="C19" i="4" s="1"/>
  <c r="C17" i="4"/>
  <c r="C15" i="4"/>
  <c r="C14" i="4"/>
  <c r="C13" i="4"/>
  <c r="C11" i="4"/>
  <c r="C10" i="4"/>
  <c r="C9" i="4"/>
  <c r="J2" i="3" a="1"/>
  <c r="J2" i="3" s="1"/>
  <c r="I2" i="3" a="1"/>
  <c r="I2" i="3" s="1"/>
  <c r="K4" i="6" a="1"/>
  <c r="K4" i="6" s="1"/>
  <c r="E8" i="6"/>
  <c r="E7" i="6"/>
  <c r="E6" i="6"/>
  <c r="E5" i="6"/>
  <c r="E4" i="6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G2" i="2"/>
  <c r="G3" i="2"/>
  <c r="G4" i="2"/>
  <c r="G5" i="2"/>
  <c r="G6" i="2"/>
  <c r="G7" i="2"/>
  <c r="G8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<sst xmlns="http://schemas.openxmlformats.org/spreadsheetml/2006/main" count="275" uniqueCount="125">
  <si>
    <t>Task</t>
  </si>
  <si>
    <t>Challenges</t>
  </si>
  <si>
    <t>1</t>
  </si>
  <si>
    <t>Apply custom number format to show up/down arrows for sales trends.</t>
  </si>
  <si>
    <t>2</t>
  </si>
  <si>
    <t>Use conditional formatting and symbols to represent performance levels.</t>
  </si>
  <si>
    <t>3</t>
  </si>
  <si>
    <t>Create a format that appends a checkmark symbol to values above a threshold.</t>
  </si>
  <si>
    <t>4</t>
  </si>
  <si>
    <t>Design a cell format to include currency symbols based on region.</t>
  </si>
  <si>
    <t>5</t>
  </si>
  <si>
    <t>Use arrows to show increase/decrease from previous value.</t>
  </si>
  <si>
    <t>Use formula to insert timestamp when order status changes.</t>
  </si>
  <si>
    <t>Insert timestamp when new entry is added using NOW() or TODAY().</t>
  </si>
  <si>
    <t>Automatically update timestamp using iterative calculation with circular reference.</t>
  </si>
  <si>
    <t>Group sales data by customer and find total sales.</t>
  </si>
  <si>
    <t>Sort customers by total sales and highlight top 5.</t>
  </si>
  <si>
    <t>Use INDEX and MATCH to retrieve customer names from highest to lowest sales.</t>
  </si>
  <si>
    <t>Use FILTER to list only customers with sales above a specific threshold.</t>
  </si>
  <si>
    <t>Combine GROUPBY and MATCH to compare sales between two regions.</t>
  </si>
  <si>
    <t>Find top 3 products using LARGE function.</t>
  </si>
  <si>
    <t>List bottom 3 products by sales using SMALL.</t>
  </si>
  <si>
    <t>Use ROWS to count total number of records in a range.</t>
  </si>
  <si>
    <t>Generate a series of IDs using SEQUENCE.</t>
  </si>
  <si>
    <t>Combine SEQUENCE and INDEX to display top 10 sales records.</t>
  </si>
  <si>
    <t>Calculate mean, median, and mode for monthly sales data.</t>
  </si>
  <si>
    <t>Use STDEV.P and STDEV.S to compare variations in sales.</t>
  </si>
  <si>
    <t>Use QUARTILE and PERCENTILE functions to analyze revenue distribution.</t>
  </si>
  <si>
    <t>Create summary statistics for customer purchases by region.</t>
  </si>
  <si>
    <t>Visualize descriptive stats using conditional formatting and charts.</t>
  </si>
  <si>
    <t>Sales</t>
  </si>
  <si>
    <t>Previous Sales</t>
  </si>
  <si>
    <t>Region</t>
  </si>
  <si>
    <t>India</t>
  </si>
  <si>
    <t>USA</t>
  </si>
  <si>
    <t>UK</t>
  </si>
  <si>
    <t>SALES 1</t>
  </si>
  <si>
    <t xml:space="preserve">currency </t>
  </si>
  <si>
    <t>PROGRESS</t>
  </si>
  <si>
    <t>Order ID</t>
  </si>
  <si>
    <t>Status</t>
  </si>
  <si>
    <t>Timestamp</t>
  </si>
  <si>
    <t>Pending</t>
  </si>
  <si>
    <t>Shipped</t>
  </si>
  <si>
    <t>Delivered</t>
  </si>
  <si>
    <t>Cancelled</t>
  </si>
  <si>
    <t>Complete</t>
  </si>
  <si>
    <t>Customer</t>
  </si>
  <si>
    <t>Ahmed</t>
  </si>
  <si>
    <t>North</t>
  </si>
  <si>
    <t>Rahul</t>
  </si>
  <si>
    <t>South</t>
  </si>
  <si>
    <t>Sneha</t>
  </si>
  <si>
    <t>East</t>
  </si>
  <si>
    <t>Aman</t>
  </si>
  <si>
    <t>West</t>
  </si>
  <si>
    <t>Priya</t>
  </si>
  <si>
    <t>Karan</t>
  </si>
  <si>
    <t>Neha</t>
  </si>
  <si>
    <t>Rohan</t>
  </si>
  <si>
    <t>Meena</t>
  </si>
  <si>
    <t>Arjun</t>
  </si>
  <si>
    <t>Pooja</t>
  </si>
  <si>
    <t>Vivek</t>
  </si>
  <si>
    <t>Kavya</t>
  </si>
  <si>
    <t>Rohit</t>
  </si>
  <si>
    <t>Anjali</t>
  </si>
  <si>
    <t>Suresh</t>
  </si>
  <si>
    <t>Tina</t>
  </si>
  <si>
    <t>Manish</t>
  </si>
  <si>
    <t>Rekha</t>
  </si>
  <si>
    <t>Deepak</t>
  </si>
  <si>
    <t>Column Labels</t>
  </si>
  <si>
    <t>Grand Total</t>
  </si>
  <si>
    <t>Row Labels</t>
  </si>
  <si>
    <t>Sum of Sales</t>
  </si>
  <si>
    <t xml:space="preserve">TOP 5 NAME OF CUSTOMERS </t>
  </si>
  <si>
    <t>CUSTOMERS WITH SALES ABOVE 7000</t>
  </si>
  <si>
    <t>UNIQUE REGION</t>
  </si>
  <si>
    <t>SALE RGION WISE</t>
  </si>
  <si>
    <t>Product</t>
  </si>
  <si>
    <t>Laptop</t>
  </si>
  <si>
    <t>Mobile</t>
  </si>
  <si>
    <t>Tablet</t>
  </si>
  <si>
    <t>TV</t>
  </si>
  <si>
    <t>Headphones</t>
  </si>
  <si>
    <t>Camera</t>
  </si>
  <si>
    <t>Printer</t>
  </si>
  <si>
    <t>Monitor</t>
  </si>
  <si>
    <t>Keyboard</t>
  </si>
  <si>
    <t>Mouse</t>
  </si>
  <si>
    <t>Speaker</t>
  </si>
  <si>
    <t>Smartwatch</t>
  </si>
  <si>
    <t>Router</t>
  </si>
  <si>
    <t>Hard Disk</t>
  </si>
  <si>
    <t>SSD</t>
  </si>
  <si>
    <t>Power Bank</t>
  </si>
  <si>
    <t>Charger</t>
  </si>
  <si>
    <t>Drone</t>
  </si>
  <si>
    <t>Projector</t>
  </si>
  <si>
    <t>Gaming Console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</si>
  <si>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</si>
  <si>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</si>
  <si>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</si>
  <si>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</si>
  <si>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</si>
  <si>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</si>
  <si>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</si>
  <si>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</si>
  <si>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</si>
  <si>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</si>
  <si>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</si>
  <si>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</si>
  <si>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</si>
  <si>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MEAN</t>
  </si>
  <si>
    <t>MEDIAN</t>
  </si>
  <si>
    <t>MODE</t>
  </si>
  <si>
    <t>STDEV.P</t>
  </si>
  <si>
    <t>STDEV.S</t>
  </si>
  <si>
    <t>QUARTILE 1</t>
  </si>
  <si>
    <t>QUARTILE 2</t>
  </si>
  <si>
    <t>QUARTILE 3</t>
  </si>
  <si>
    <t>PERCENTILE</t>
  </si>
  <si>
    <t>ANSWER IN SHEET</t>
  </si>
  <si>
    <t>PIVOT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</si>
</sst>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[Green]\▲\ #,##0;[Red]\▼\ #,##0;\1"/>
    <numFmt numFmtId="171" formatCode="[&gt;8000]#,##0\ &quot;✔&quot;;#,##0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9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/>
    </xf>
    <xf numFmtId="171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22" fontId="0" fillId="0" borderId="0" xfId="0" applyNumberFormat="1" applyAlignment="1">
      <alignment vertical="center" wrapText="1"/>
    </xf>
    <xf numFmtId="0" fontId="3" fillId="0" borderId="0" xfId="0" applyFont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3" borderId="0" xfId="0" applyNumberFormat="1" applyFont="1" applyFill="1"/>
    <xf numFmtId="0" fontId="1" fillId="4" borderId="0" xfId="0" applyFont="1" applyFill="1"/>
    <xf numFmtId="0" fontId="0" fillId="4" borderId="0" xfId="0" applyFill="1"/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top"/>
    </xf>
    <xf numFmtId="0" fontId="3" fillId="5" borderId="2" xfId="0" applyFont="1" applyFill="1" applyBorder="1" applyAlignment="1">
      <alignment horizontal="center" vertical="top"/>
    </xf>
    <xf numFmtId="0" fontId="0" fillId="5" borderId="2" xfId="0" applyFont="1" applyFill="1" applyBorder="1" applyAlignment="1">
      <alignment horizontal="center" vertical="top"/>
    </xf>
  </cellXfs>
  <cellStyles count="1">
    <cellStyle name="Normal" xfId="0" builtinId="0"/>
  </cellStyles>
  <dxfs count="2">
    <dxf>
      <fill>
        <patternFill patternType="solid">
          <bgColor rgb="FFFFFF00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Work 3.3 _ Excel - AI_ML - DA_DS.xlsx]PIVOT 3!PivotTable10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3'!$B$3:$B$4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3'!$A$5:$A$9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3'!$B$5:$B$9</c:f>
              <c:numCache>
                <c:formatCode>General</c:formatCode>
                <c:ptCount val="4"/>
                <c:pt idx="1">
                  <c:v>10600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9F-4CD4-9EB1-86D436480B6C}"/>
            </c:ext>
          </c:extLst>
        </c:ser>
        <c:ser>
          <c:idx val="1"/>
          <c:order val="1"/>
          <c:tx>
            <c:strRef>
              <c:f>'PIVOT 3'!$C$3:$C$4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3'!$A$5:$A$9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3'!$C$5:$C$9</c:f>
              <c:numCache>
                <c:formatCode>General</c:formatCode>
                <c:ptCount val="4"/>
                <c:pt idx="2">
                  <c:v>14800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9F-4CD4-9EB1-86D436480B6C}"/>
            </c:ext>
          </c:extLst>
        </c:ser>
        <c:ser>
          <c:idx val="2"/>
          <c:order val="2"/>
          <c:tx>
            <c:strRef>
              <c:f>'PIVOT 3'!$D$3:$D$4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3'!$A$5:$A$9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3'!$D$5:$D$9</c:f>
              <c:numCache>
                <c:formatCode>General</c:formatCode>
                <c:ptCount val="4"/>
                <c:pt idx="0">
                  <c:v>12400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9F-4CD4-9EB1-86D436480B6C}"/>
            </c:ext>
          </c:extLst>
        </c:ser>
        <c:ser>
          <c:idx val="3"/>
          <c:order val="3"/>
          <c:tx>
            <c:strRef>
              <c:f>'PIVOT 3'!$E$3:$E$4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3'!$A$5:$A$9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3'!$E$5:$E$9</c:f>
              <c:numCache>
                <c:formatCode>General</c:formatCode>
                <c:ptCount val="4"/>
                <c:pt idx="3">
                  <c:v>17000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9F-4CD4-9EB1-86D436480B6C}"/>
            </c:ext>
          </c:extLst>
        </c:ser>
        <c:ser>
          <c:idx val="4"/>
          <c:order val="4"/>
          <c:tx>
            <c:strRef>
              <c:f>'PIVOT 3'!$F$3:$F$4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3'!$A$5:$A$9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3'!$F$5:$F$9</c:f>
              <c:numCache>
                <c:formatCode>General</c:formatCode>
                <c:ptCount val="4"/>
                <c:pt idx="1">
                  <c:v>11300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9F-4CD4-9EB1-86D436480B6C}"/>
            </c:ext>
          </c:extLst>
        </c:ser>
        <c:ser>
          <c:idx val="5"/>
          <c:order val="5"/>
          <c:tx>
            <c:strRef>
              <c:f>'PIVOT 3'!$G$3:$G$4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3'!$A$5:$A$9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3'!$G$5:$G$9</c:f>
              <c:numCache>
                <c:formatCode>General</c:formatCode>
                <c:ptCount val="4"/>
                <c:pt idx="2">
                  <c:v>15200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9F-4CD4-9EB1-86D436480B6C}"/>
            </c:ext>
          </c:extLst>
        </c:ser>
        <c:ser>
          <c:idx val="6"/>
          <c:order val="6"/>
          <c:tx>
            <c:strRef>
              <c:f>'PIVOT 3'!$H$3:$H$4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3'!$A$5:$A$9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3'!$H$5:$H$9</c:f>
              <c:numCache>
                <c:formatCode>General</c:formatCode>
                <c:ptCount val="4"/>
                <c:pt idx="0">
                  <c:v>12700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9F-4CD4-9EB1-86D436480B6C}"/>
            </c:ext>
          </c:extLst>
        </c:ser>
        <c:ser>
          <c:idx val="7"/>
          <c:order val="7"/>
          <c:tx>
            <c:strRef>
              <c:f>'PIVOT 3'!$I$3:$I$4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3'!$A$5:$A$9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3'!$I$5:$I$9</c:f>
              <c:numCache>
                <c:formatCode>General</c:formatCode>
                <c:ptCount val="4"/>
                <c:pt idx="3">
                  <c:v>17700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89F-4CD4-9EB1-86D436480B6C}"/>
            </c:ext>
          </c:extLst>
        </c:ser>
        <c:ser>
          <c:idx val="8"/>
          <c:order val="8"/>
          <c:tx>
            <c:strRef>
              <c:f>'PIVOT 3'!$J$3:$J$4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3'!$A$5:$A$9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3'!$J$5:$J$9</c:f>
              <c:numCache>
                <c:formatCode>General</c:formatCode>
                <c:ptCount val="4"/>
                <c:pt idx="1">
                  <c:v>5300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9F-4CD4-9EB1-86D436480B6C}"/>
            </c:ext>
          </c:extLst>
        </c:ser>
        <c:ser>
          <c:idx val="9"/>
          <c:order val="9"/>
          <c:tx>
            <c:strRef>
              <c:f>'PIVOT 3'!$K$3:$K$4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3'!$A$5:$A$9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3'!$K$5:$K$9</c:f>
              <c:numCache>
                <c:formatCode>General</c:formatCode>
                <c:ptCount val="4"/>
                <c:pt idx="2">
                  <c:v>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89F-4CD4-9EB1-86D436480B6C}"/>
            </c:ext>
          </c:extLst>
        </c:ser>
        <c:ser>
          <c:idx val="10"/>
          <c:order val="10"/>
          <c:tx>
            <c:strRef>
              <c:f>'PIVOT 3'!$L$3:$L$4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3'!$A$5:$A$9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3'!$L$5:$L$9</c:f>
              <c:numCache>
                <c:formatCode>General</c:formatCode>
                <c:ptCount val="4"/>
                <c:pt idx="0">
                  <c:v>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89F-4CD4-9EB1-86D436480B6C}"/>
            </c:ext>
          </c:extLst>
        </c:ser>
        <c:ser>
          <c:idx val="11"/>
          <c:order val="11"/>
          <c:tx>
            <c:strRef>
              <c:f>'PIVOT 3'!$M$3:$M$4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3'!$A$5:$A$9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3'!$M$5:$M$9</c:f>
              <c:numCache>
                <c:formatCode>General</c:formatCode>
                <c:ptCount val="4"/>
                <c:pt idx="3">
                  <c:v>8700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89F-4CD4-9EB1-86D436480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0460511"/>
        <c:axId val="1350460991"/>
      </c:barChart>
      <c:catAx>
        <c:axId val="1350460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460991"/>
        <c:crosses val="autoZero"/>
        <c:auto val="1"/>
        <c:lblAlgn val="ctr"/>
        <c:lblOffset val="100"/>
        <c:noMultiLvlLbl val="0"/>
      </c:catAx>
      <c:valAx>
        <c:axId val="135046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460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DISTRIBUTION OF SALE PRICE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ea typeface="Calibri"/>
              <a:cs typeface="Calibri"/>
            </a:rPr>
            <a:t>DISTRIBUTION OF SALE PRICE</a:t>
          </a:r>
        </a:p>
      </cx:txPr>
    </cx:title>
    <cx:plotArea>
      <cx:plotAreaRegion>
        <cx:series layoutId="clusteredColumn" uniqueId="{ADB51D7B-E0A8-4AE9-9041-612E3315A0CE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10</xdr:row>
      <xdr:rowOff>125730</xdr:rowOff>
    </xdr:from>
    <xdr:to>
      <xdr:col>8</xdr:col>
      <xdr:colOff>266700</xdr:colOff>
      <xdr:row>25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C79DAD-CD76-E66B-D47A-C9D20C9E45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213360</xdr:colOff>
      <xdr:row>2</xdr:row>
      <xdr:rowOff>118110</xdr:rowOff>
    </xdr:from>
    <xdr:to>
      <xdr:col>16</xdr:col>
      <xdr:colOff>30480</xdr:colOff>
      <xdr:row>17</xdr:row>
      <xdr:rowOff>118110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B121276-56D4-AA9C-BA78-A7E8DE5D40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25940" y="4838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" refreshedDate="46132.828590046294" createdVersion="8" refreshedVersion="8" minRefreshableVersion="3" recordCount="20" xr:uid="{937A65CE-E3D6-4229-89FC-140F6B0BD6F3}">
  <cacheSource type="worksheet">
    <worksheetSource ref="F1:H21" sheet="GROUPBY Function"/>
  </cacheSource>
  <cacheFields count="3">
    <cacheField name="Customer" numFmtId="0">
      <sharedItems count="20">
        <s v="Ahmed"/>
        <s v="Rahul"/>
        <s v="Sneha"/>
        <s v="Aman"/>
        <s v="Priya"/>
        <s v="Karan"/>
        <s v="Neha"/>
        <s v="Rohan"/>
        <s v="Meena"/>
        <s v="Arjun"/>
        <s v="Pooja"/>
        <s v="Vivek"/>
        <s v="Kavya"/>
        <s v="Rohit"/>
        <s v="Anjali"/>
        <s v="Suresh"/>
        <s v="Tina"/>
        <s v="Manish"/>
        <s v="Rekha"/>
        <s v="Deepak"/>
      </sharedItems>
    </cacheField>
    <cacheField name="Region" numFmtId="0">
      <sharedItems/>
    </cacheField>
    <cacheField name="Sales" numFmtId="0">
      <sharedItems containsSemiMixedTypes="0" containsString="0" containsNumber="1" containsInteger="1" minValue="5000" maxValue="9200" count="19">
        <n v="5000"/>
        <n v="7000"/>
        <n v="6000"/>
        <n v="8000"/>
        <n v="5500"/>
        <n v="7200"/>
        <n v="6100"/>
        <n v="8500"/>
        <n v="5300"/>
        <n v="7500"/>
        <n v="6200"/>
        <n v="8700"/>
        <n v="5600"/>
        <n v="7800"/>
        <n v="6400"/>
        <n v="9000"/>
        <n v="5800"/>
        <n v="6600"/>
        <n v="92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" refreshedDate="46132.967956712964" createdVersion="8" refreshedVersion="8" minRefreshableVersion="3" recordCount="20" xr:uid="{82C548D7-80BE-46DF-B969-14FB9D9895EF}">
  <cacheSource type="worksheet">
    <worksheetSource ref="F1:H21" sheet="Advanced Descriptive Analytics"/>
  </cacheSource>
  <cacheFields count="3"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Sales" numFmtId="0">
      <sharedItems containsSemiMixedTypes="0" containsString="0" containsNumber="1" containsInteger="1" minValue="5000" maxValue="9200" count="19">
        <n v="5000"/>
        <n v="7000"/>
        <n v="6000"/>
        <n v="8000"/>
        <n v="5500"/>
        <n v="7200"/>
        <n v="6100"/>
        <n v="8500"/>
        <n v="5300"/>
        <n v="7500"/>
        <n v="6200"/>
        <n v="8700"/>
        <n v="5600"/>
        <n v="7800"/>
        <n v="6400"/>
        <n v="9000"/>
        <n v="5800"/>
        <n v="6600"/>
        <n v="9200"/>
      </sharedItems>
    </cacheField>
    <cacheField name="Region" numFmtId="0">
      <sharedItems count="4">
        <s v="North"/>
        <s v="South"/>
        <s v="East"/>
        <s v="We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s v="North"/>
    <x v="0"/>
  </r>
  <r>
    <x v="1"/>
    <s v="South"/>
    <x v="1"/>
  </r>
  <r>
    <x v="2"/>
    <s v="East"/>
    <x v="2"/>
  </r>
  <r>
    <x v="3"/>
    <s v="West"/>
    <x v="3"/>
  </r>
  <r>
    <x v="4"/>
    <s v="North"/>
    <x v="4"/>
  </r>
  <r>
    <x v="5"/>
    <s v="South"/>
    <x v="5"/>
  </r>
  <r>
    <x v="6"/>
    <s v="East"/>
    <x v="6"/>
  </r>
  <r>
    <x v="7"/>
    <s v="West"/>
    <x v="7"/>
  </r>
  <r>
    <x v="8"/>
    <s v="North"/>
    <x v="8"/>
  </r>
  <r>
    <x v="9"/>
    <s v="South"/>
    <x v="9"/>
  </r>
  <r>
    <x v="10"/>
    <s v="East"/>
    <x v="10"/>
  </r>
  <r>
    <x v="11"/>
    <s v="West"/>
    <x v="11"/>
  </r>
  <r>
    <x v="12"/>
    <s v="North"/>
    <x v="12"/>
  </r>
  <r>
    <x v="13"/>
    <s v="South"/>
    <x v="13"/>
  </r>
  <r>
    <x v="14"/>
    <s v="East"/>
    <x v="14"/>
  </r>
  <r>
    <x v="15"/>
    <s v="West"/>
    <x v="15"/>
  </r>
  <r>
    <x v="16"/>
    <s v="North"/>
    <x v="16"/>
  </r>
  <r>
    <x v="17"/>
    <s v="South"/>
    <x v="3"/>
  </r>
  <r>
    <x v="18"/>
    <s v="East"/>
    <x v="17"/>
  </r>
  <r>
    <x v="19"/>
    <s v="West"/>
    <x v="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x v="0"/>
  </r>
  <r>
    <x v="1"/>
    <x v="1"/>
    <x v="1"/>
  </r>
  <r>
    <x v="2"/>
    <x v="2"/>
    <x v="2"/>
  </r>
  <r>
    <x v="3"/>
    <x v="3"/>
    <x v="3"/>
  </r>
  <r>
    <x v="4"/>
    <x v="4"/>
    <x v="0"/>
  </r>
  <r>
    <x v="5"/>
    <x v="5"/>
    <x v="1"/>
  </r>
  <r>
    <x v="6"/>
    <x v="6"/>
    <x v="2"/>
  </r>
  <r>
    <x v="7"/>
    <x v="7"/>
    <x v="3"/>
  </r>
  <r>
    <x v="8"/>
    <x v="8"/>
    <x v="0"/>
  </r>
  <r>
    <x v="9"/>
    <x v="9"/>
    <x v="1"/>
  </r>
  <r>
    <x v="10"/>
    <x v="10"/>
    <x v="2"/>
  </r>
  <r>
    <x v="11"/>
    <x v="11"/>
    <x v="3"/>
  </r>
  <r>
    <x v="0"/>
    <x v="12"/>
    <x v="0"/>
  </r>
  <r>
    <x v="1"/>
    <x v="13"/>
    <x v="1"/>
  </r>
  <r>
    <x v="2"/>
    <x v="14"/>
    <x v="2"/>
  </r>
  <r>
    <x v="3"/>
    <x v="15"/>
    <x v="3"/>
  </r>
  <r>
    <x v="4"/>
    <x v="16"/>
    <x v="0"/>
  </r>
  <r>
    <x v="5"/>
    <x v="3"/>
    <x v="1"/>
  </r>
  <r>
    <x v="6"/>
    <x v="17"/>
    <x v="2"/>
  </r>
  <r>
    <x v="7"/>
    <x v="18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918E9B-EE60-434D-B198-FEEDA6DF7C7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/>
  <pivotFields count="3">
    <pivotField axis="axisRow" showAll="0" sortType="descending">
      <items count="21">
        <item x="0"/>
        <item x="3"/>
        <item x="14"/>
        <item x="9"/>
        <item x="19"/>
        <item x="5"/>
        <item x="12"/>
        <item x="17"/>
        <item x="8"/>
        <item x="6"/>
        <item x="10"/>
        <item x="4"/>
        <item x="1"/>
        <item x="18"/>
        <item x="7"/>
        <item x="13"/>
        <item x="2"/>
        <item x="15"/>
        <item x="16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20">
        <item x="0"/>
        <item x="8"/>
        <item x="4"/>
        <item x="12"/>
        <item x="16"/>
        <item x="2"/>
        <item x="6"/>
        <item x="10"/>
        <item x="14"/>
        <item x="17"/>
        <item x="1"/>
        <item x="5"/>
        <item x="9"/>
        <item x="13"/>
        <item x="3"/>
        <item x="7"/>
        <item x="11"/>
        <item x="15"/>
        <item x="18"/>
        <item t="default"/>
      </items>
    </pivotField>
  </pivotFields>
  <rowFields count="1">
    <field x="0"/>
  </rowFields>
  <rowItems count="21">
    <i>
      <x v="4"/>
    </i>
    <i>
      <x v="17"/>
    </i>
    <i>
      <x v="19"/>
    </i>
    <i>
      <x v="14"/>
    </i>
    <i>
      <x v="1"/>
    </i>
    <i>
      <x v="7"/>
    </i>
    <i>
      <x v="15"/>
    </i>
    <i>
      <x v="3"/>
    </i>
    <i>
      <x v="5"/>
    </i>
    <i>
      <x v="12"/>
    </i>
    <i>
      <x v="13"/>
    </i>
    <i>
      <x v="2"/>
    </i>
    <i>
      <x v="10"/>
    </i>
    <i>
      <x v="9"/>
    </i>
    <i>
      <x v="16"/>
    </i>
    <i>
      <x v="18"/>
    </i>
    <i>
      <x v="6"/>
    </i>
    <i>
      <x v="11"/>
    </i>
    <i>
      <x v="8"/>
    </i>
    <i>
      <x/>
    </i>
    <i t="grand">
      <x/>
    </i>
  </rowItems>
  <colItems count="1">
    <i/>
  </colItems>
  <dataFields count="1">
    <dataField name="Sum of Sales" fld="2" baseField="0" baseItem="0"/>
  </dataFields>
  <formats count="2">
    <format dxfId="1">
      <pivotArea collapsedLevelsAreSubtotals="1" fieldPosition="0">
        <references count="1">
          <reference field="0" count="5">
            <x v="1"/>
            <x v="4"/>
            <x v="14"/>
            <x v="17"/>
            <x v="19"/>
          </reference>
        </references>
      </pivotArea>
    </format>
    <format dxfId="0">
      <pivotArea collapsedLevelsAreSubtotals="1" fieldPosition="0">
        <references count="1">
          <reference field="0" count="5">
            <x v="1"/>
            <x v="4"/>
            <x v="14"/>
            <x v="17"/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170A4B-3921-4A6C-9F25-5F4DAED292AF}" name="PivotTable2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showAll="0"/>
    <pivotField dataField="1" showAll="0">
      <items count="20">
        <item x="0"/>
        <item x="8"/>
        <item x="4"/>
        <item x="12"/>
        <item x="16"/>
        <item x="2"/>
        <item x="6"/>
        <item x="10"/>
        <item x="14"/>
        <item x="17"/>
        <item x="1"/>
        <item x="5"/>
        <item x="9"/>
        <item x="13"/>
        <item x="3"/>
        <item x="7"/>
        <item x="11"/>
        <item x="15"/>
        <item x="18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D6393B-425D-4326-8A48-83DC471E372A}" name="PivotTable10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N9" firstHeaderRow="1" firstDataRow="2" firstDataCol="1"/>
  <pivotFields count="3"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axis="axisRow" showAll="0">
      <items count="5">
        <item x="2"/>
        <item x="0"/>
        <item x="1"/>
        <item x="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Sales" fld="1" baseField="0" baseItem="0"/>
  </dataFields>
  <chartFormats count="12"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4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4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4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4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B8" sqref="B8"/>
    </sheetView>
  </sheetViews>
  <sheetFormatPr defaultColWidth="14.44140625" defaultRowHeight="14.4" x14ac:dyDescent="0.3"/>
  <cols>
    <col min="1" max="1" width="4.77734375" bestFit="1" customWidth="1"/>
    <col min="2" max="2" width="66.77734375" bestFit="1" customWidth="1"/>
    <col min="3" max="4" width="8.6640625" customWidth="1"/>
    <col min="5" max="5" width="8.44140625" bestFit="1" customWidth="1"/>
    <col min="6" max="6" width="8.88671875" bestFit="1" customWidth="1"/>
    <col min="7" max="7" width="12.88671875" bestFit="1" customWidth="1"/>
    <col min="8" max="8" width="6.77734375" bestFit="1" customWidth="1"/>
    <col min="9" max="9" width="8.33203125" bestFit="1" customWidth="1"/>
    <col min="10" max="10" width="9.88671875" bestFit="1" customWidth="1"/>
    <col min="11" max="26" width="8.6640625" customWidth="1"/>
  </cols>
  <sheetData>
    <row r="1" spans="1:26" x14ac:dyDescent="0.3">
      <c r="A1" s="1" t="s">
        <v>0</v>
      </c>
      <c r="B1" s="1" t="s">
        <v>1</v>
      </c>
      <c r="C1" s="2"/>
      <c r="D1" s="2"/>
      <c r="E1" s="5" t="s">
        <v>36</v>
      </c>
      <c r="F1" s="5" t="s">
        <v>30</v>
      </c>
      <c r="G1" s="5" t="s">
        <v>31</v>
      </c>
      <c r="H1" s="5" t="s">
        <v>32</v>
      </c>
      <c r="I1" s="5" t="s">
        <v>37</v>
      </c>
      <c r="J1" s="5" t="s">
        <v>38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">
      <c r="A2" s="3" t="s">
        <v>2</v>
      </c>
      <c r="B2" s="4" t="s">
        <v>3</v>
      </c>
      <c r="C2" s="2"/>
      <c r="D2" s="2"/>
      <c r="E2" s="10">
        <v>5000</v>
      </c>
      <c r="F2" s="7">
        <v>5000</v>
      </c>
      <c r="G2" s="8">
        <v>4500</v>
      </c>
      <c r="H2" s="6" t="s">
        <v>33</v>
      </c>
      <c r="I2" s="2" t="str">
        <f>IF(H2="India","₹ "&amp;E2,IF(C2="USA","$ "&amp;E2,"£ "&amp;E2))</f>
        <v>₹ 5000</v>
      </c>
      <c r="J2" s="2" t="str">
        <f>IF(F2&gt;G2,"▲",IF(F2&lt;G2,"▼","="))</f>
        <v>▲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3">
      <c r="A3" s="3" t="s">
        <v>4</v>
      </c>
      <c r="B3" s="4" t="s">
        <v>5</v>
      </c>
      <c r="C3" s="2"/>
      <c r="D3" s="2"/>
      <c r="E3" s="10">
        <v>7000</v>
      </c>
      <c r="F3" s="7">
        <v>7000</v>
      </c>
      <c r="G3" s="8">
        <v>7200</v>
      </c>
      <c r="H3" s="6" t="s">
        <v>34</v>
      </c>
      <c r="I3" s="2" t="str">
        <f t="shared" ref="I3:I21" si="0">IF(H3="India","₹ "&amp;E3,IF(C3="USA","$ "&amp;E3,"£ "&amp;E3))</f>
        <v>£ 7000</v>
      </c>
      <c r="J3" s="2" t="str">
        <f t="shared" ref="J3:J21" si="1">IF(F3&gt;G3,"▲",IF(F3&lt;G3,"▼","="))</f>
        <v>▼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3">
      <c r="A4" s="3" t="s">
        <v>6</v>
      </c>
      <c r="B4" s="4" t="s">
        <v>7</v>
      </c>
      <c r="C4" s="2"/>
      <c r="D4" s="2"/>
      <c r="E4" s="10">
        <v>8000</v>
      </c>
      <c r="F4" s="7">
        <v>8000</v>
      </c>
      <c r="G4" s="8">
        <v>7500</v>
      </c>
      <c r="H4" s="6" t="s">
        <v>35</v>
      </c>
      <c r="I4" s="2" t="str">
        <f t="shared" si="0"/>
        <v>£ 8000</v>
      </c>
      <c r="J4" s="2" t="str">
        <f t="shared" si="1"/>
        <v>▲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">
      <c r="A5" s="3" t="s">
        <v>8</v>
      </c>
      <c r="B5" s="4" t="s">
        <v>9</v>
      </c>
      <c r="C5" s="2"/>
      <c r="D5" s="2"/>
      <c r="E5" s="10">
        <v>6000</v>
      </c>
      <c r="F5" s="7">
        <v>6000</v>
      </c>
      <c r="G5" s="8">
        <v>6000</v>
      </c>
      <c r="H5" s="6" t="s">
        <v>33</v>
      </c>
      <c r="I5" s="2" t="str">
        <f t="shared" si="0"/>
        <v>₹ 6000</v>
      </c>
      <c r="J5" s="2" t="str">
        <f t="shared" si="1"/>
        <v>=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3">
      <c r="A6" s="3" t="s">
        <v>10</v>
      </c>
      <c r="B6" s="4" t="s">
        <v>11</v>
      </c>
      <c r="C6" s="2"/>
      <c r="D6" s="2"/>
      <c r="E6" s="10">
        <v>9000</v>
      </c>
      <c r="F6" s="7">
        <v>9000</v>
      </c>
      <c r="G6" s="8">
        <v>8500</v>
      </c>
      <c r="H6" s="6" t="s">
        <v>34</v>
      </c>
      <c r="I6" s="2" t="str">
        <f t="shared" si="0"/>
        <v>£ 9000</v>
      </c>
      <c r="J6" s="2" t="str">
        <f t="shared" si="1"/>
        <v>▲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3">
      <c r="A7" s="2"/>
      <c r="B7" s="2"/>
      <c r="C7" s="2"/>
      <c r="D7" s="2"/>
      <c r="E7" s="10">
        <v>4000</v>
      </c>
      <c r="F7" s="7">
        <v>4000</v>
      </c>
      <c r="G7" s="8">
        <v>5000</v>
      </c>
      <c r="H7" s="6" t="s">
        <v>35</v>
      </c>
      <c r="I7" s="2" t="str">
        <f t="shared" si="0"/>
        <v>£ 4000</v>
      </c>
      <c r="J7" s="2" t="str">
        <f t="shared" si="1"/>
        <v>▼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3">
      <c r="A8" s="2"/>
      <c r="B8" s="2"/>
      <c r="C8" s="2"/>
      <c r="D8" s="2"/>
      <c r="E8" s="10">
        <v>10000</v>
      </c>
      <c r="F8" s="7">
        <v>10000</v>
      </c>
      <c r="G8" s="8">
        <v>9500</v>
      </c>
      <c r="H8" s="6" t="s">
        <v>33</v>
      </c>
      <c r="I8" s="2" t="str">
        <f t="shared" si="0"/>
        <v>₹ 10000</v>
      </c>
      <c r="J8" s="2" t="str">
        <f t="shared" si="1"/>
        <v>▲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3">
      <c r="A9" s="2"/>
      <c r="B9" s="2"/>
      <c r="C9" s="2"/>
      <c r="D9" s="2"/>
      <c r="E9" s="10">
        <v>7500</v>
      </c>
      <c r="F9" s="7">
        <v>7500</v>
      </c>
      <c r="G9" s="8">
        <v>7000</v>
      </c>
      <c r="H9" s="6" t="s">
        <v>34</v>
      </c>
      <c r="I9" s="2" t="str">
        <f t="shared" si="0"/>
        <v>£ 7500</v>
      </c>
      <c r="J9" s="2" t="str">
        <f t="shared" si="1"/>
        <v>▲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3">
      <c r="A10" s="2"/>
      <c r="B10" s="2"/>
      <c r="C10" s="2"/>
      <c r="D10" s="2"/>
      <c r="E10" s="10">
        <v>-8200</v>
      </c>
      <c r="F10" s="7">
        <v>-8200</v>
      </c>
      <c r="G10" s="8">
        <v>8300</v>
      </c>
      <c r="H10" s="6" t="s">
        <v>35</v>
      </c>
      <c r="I10" s="2" t="str">
        <f t="shared" si="0"/>
        <v>£ -8200</v>
      </c>
      <c r="J10" s="2" t="str">
        <f t="shared" si="1"/>
        <v>▼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3">
      <c r="A11" s="2"/>
      <c r="B11" s="2"/>
      <c r="C11" s="2"/>
      <c r="D11" s="2"/>
      <c r="E11" s="10">
        <v>6700</v>
      </c>
      <c r="F11" s="7">
        <v>6700</v>
      </c>
      <c r="G11" s="8">
        <v>6500</v>
      </c>
      <c r="H11" s="6" t="s">
        <v>33</v>
      </c>
      <c r="I11" s="2" t="str">
        <f t="shared" si="0"/>
        <v>₹ 6700</v>
      </c>
      <c r="J11" s="2" t="str">
        <f t="shared" si="1"/>
        <v>▲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3">
      <c r="A12" s="2"/>
      <c r="B12" s="2"/>
      <c r="C12" s="2"/>
      <c r="D12" s="2"/>
      <c r="E12" s="10">
        <v>9200</v>
      </c>
      <c r="F12" s="7">
        <v>9200</v>
      </c>
      <c r="G12" s="8">
        <v>9000</v>
      </c>
      <c r="H12" s="6" t="s">
        <v>34</v>
      </c>
      <c r="I12" s="2" t="str">
        <f t="shared" si="0"/>
        <v>£ 9200</v>
      </c>
      <c r="J12" s="2" t="str">
        <f t="shared" si="1"/>
        <v>▲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">
      <c r="A13" s="2"/>
      <c r="B13" s="2"/>
      <c r="C13" s="2"/>
      <c r="D13" s="2"/>
      <c r="E13" s="10">
        <v>4800</v>
      </c>
      <c r="F13" s="7">
        <v>4800</v>
      </c>
      <c r="G13" s="8">
        <v>5000</v>
      </c>
      <c r="H13" s="6" t="s">
        <v>35</v>
      </c>
      <c r="I13" s="2" t="str">
        <f t="shared" si="0"/>
        <v>£ 4800</v>
      </c>
      <c r="J13" s="2" t="str">
        <f t="shared" si="1"/>
        <v>▼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">
      <c r="A14" s="2"/>
      <c r="B14" s="2"/>
      <c r="C14" s="2"/>
      <c r="D14" s="2"/>
      <c r="E14" s="10">
        <v>-11000</v>
      </c>
      <c r="F14" s="7">
        <v>-11000</v>
      </c>
      <c r="G14" s="8">
        <v>10500</v>
      </c>
      <c r="H14" s="6" t="s">
        <v>33</v>
      </c>
      <c r="I14" s="2" t="str">
        <f t="shared" si="0"/>
        <v>₹ -11000</v>
      </c>
      <c r="J14" s="2" t="str">
        <f t="shared" si="1"/>
        <v>▼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">
      <c r="A15" s="2"/>
      <c r="B15" s="2"/>
      <c r="C15" s="2"/>
      <c r="D15" s="2"/>
      <c r="E15" s="10">
        <v>7600</v>
      </c>
      <c r="F15" s="7">
        <v>7600</v>
      </c>
      <c r="G15" s="8">
        <v>7800</v>
      </c>
      <c r="H15" s="6" t="s">
        <v>34</v>
      </c>
      <c r="I15" s="2" t="str">
        <f t="shared" si="0"/>
        <v>£ 7600</v>
      </c>
      <c r="J15" s="2" t="str">
        <f t="shared" si="1"/>
        <v>▼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">
      <c r="A16" s="2"/>
      <c r="B16" s="2"/>
      <c r="C16" s="2"/>
      <c r="D16" s="2"/>
      <c r="E16" s="10">
        <v>8300</v>
      </c>
      <c r="F16" s="7">
        <v>8300</v>
      </c>
      <c r="G16" s="8">
        <v>8000</v>
      </c>
      <c r="H16" s="6" t="s">
        <v>35</v>
      </c>
      <c r="I16" s="2" t="str">
        <f t="shared" si="0"/>
        <v>£ 8300</v>
      </c>
      <c r="J16" s="2" t="str">
        <f t="shared" si="1"/>
        <v>▲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">
      <c r="A17" s="2"/>
      <c r="B17" s="2"/>
      <c r="C17" s="2"/>
      <c r="D17" s="2"/>
      <c r="E17" s="10">
        <v>6900</v>
      </c>
      <c r="F17" s="7">
        <v>6900</v>
      </c>
      <c r="G17" s="8">
        <v>6700</v>
      </c>
      <c r="H17" s="6" t="s">
        <v>33</v>
      </c>
      <c r="I17" s="2" t="str">
        <f t="shared" si="0"/>
        <v>₹ 6900</v>
      </c>
      <c r="J17" s="2" t="str">
        <f t="shared" si="1"/>
        <v>▲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">
      <c r="A18" s="2"/>
      <c r="B18" s="2"/>
      <c r="C18" s="2"/>
      <c r="D18" s="2"/>
      <c r="E18" s="10">
        <v>-9500</v>
      </c>
      <c r="F18" s="7">
        <v>-9500</v>
      </c>
      <c r="G18" s="8">
        <v>9200</v>
      </c>
      <c r="H18" s="6" t="s">
        <v>34</v>
      </c>
      <c r="I18" s="2" t="str">
        <f t="shared" si="0"/>
        <v>£ -9500</v>
      </c>
      <c r="J18" s="2" t="str">
        <f t="shared" si="1"/>
        <v>▼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">
      <c r="A19" s="2"/>
      <c r="B19" s="2"/>
      <c r="C19" s="2"/>
      <c r="D19" s="2"/>
      <c r="E19" s="10">
        <v>5200</v>
      </c>
      <c r="F19" s="7">
        <v>5200</v>
      </c>
      <c r="G19" s="8">
        <v>5400</v>
      </c>
      <c r="H19" s="6" t="s">
        <v>35</v>
      </c>
      <c r="I19" s="2" t="str">
        <f t="shared" si="0"/>
        <v>£ 5200</v>
      </c>
      <c r="J19" s="2" t="str">
        <f t="shared" si="1"/>
        <v>▼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">
      <c r="A20" s="2"/>
      <c r="B20" s="2"/>
      <c r="C20" s="2"/>
      <c r="D20" s="2"/>
      <c r="E20" s="10">
        <v>12000</v>
      </c>
      <c r="F20" s="7">
        <v>12000</v>
      </c>
      <c r="G20" s="8">
        <v>11500</v>
      </c>
      <c r="H20" s="6" t="s">
        <v>33</v>
      </c>
      <c r="I20" s="2" t="str">
        <f t="shared" si="0"/>
        <v>₹ 12000</v>
      </c>
      <c r="J20" s="2" t="str">
        <f t="shared" si="1"/>
        <v>▲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">
      <c r="A21" s="2"/>
      <c r="B21" s="2"/>
      <c r="C21" s="2"/>
      <c r="D21" s="2"/>
      <c r="E21" s="10">
        <v>8000</v>
      </c>
      <c r="F21" s="7">
        <v>8000</v>
      </c>
      <c r="G21" s="8">
        <v>7900</v>
      </c>
      <c r="H21" s="6" t="s">
        <v>34</v>
      </c>
      <c r="I21" s="2" t="str">
        <f t="shared" si="0"/>
        <v>£ 8000</v>
      </c>
      <c r="J21" s="2" t="str">
        <f t="shared" si="1"/>
        <v>▲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G2:G21">
    <cfRule type="iconSet" priority="1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8"/>
  <sheetViews>
    <sheetView workbookViewId="0">
      <selection activeCell="G10" sqref="G10"/>
    </sheetView>
  </sheetViews>
  <sheetFormatPr defaultColWidth="14.44140625" defaultRowHeight="15" customHeight="1" x14ac:dyDescent="0.3"/>
  <cols>
    <col min="1" max="1" width="8.6640625" customWidth="1"/>
    <col min="2" max="2" width="72.88671875" customWidth="1"/>
    <col min="3" max="6" width="8.6640625" customWidth="1"/>
    <col min="7" max="7" width="18.109375" customWidth="1"/>
    <col min="8" max="26" width="8.6640625" customWidth="1"/>
  </cols>
  <sheetData>
    <row r="1" spans="1:26" ht="28.8" x14ac:dyDescent="0.3">
      <c r="A1" s="1" t="s">
        <v>0</v>
      </c>
      <c r="B1" s="1" t="s">
        <v>1</v>
      </c>
      <c r="C1" s="2"/>
      <c r="D1" s="2"/>
      <c r="E1" s="11" t="s">
        <v>39</v>
      </c>
      <c r="F1" s="11" t="s">
        <v>40</v>
      </c>
      <c r="G1" s="11" t="s">
        <v>41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2</v>
      </c>
      <c r="B2" s="4" t="s">
        <v>12</v>
      </c>
      <c r="C2" s="2"/>
      <c r="D2" s="2"/>
      <c r="E2" s="12">
        <v>101</v>
      </c>
      <c r="F2" s="12" t="s">
        <v>43</v>
      </c>
      <c r="G2" s="13">
        <f ca="1">IF(F2&lt;&gt;"",IF(G2="",NOW(),G2),"")</f>
        <v>46132.789717129628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3" t="s">
        <v>4</v>
      </c>
      <c r="B3" s="4" t="s">
        <v>13</v>
      </c>
      <c r="C3" s="2"/>
      <c r="D3" s="2"/>
      <c r="E3" s="12">
        <v>102</v>
      </c>
      <c r="F3" s="12" t="s">
        <v>43</v>
      </c>
      <c r="G3" s="13">
        <f t="shared" ref="G3:G24" ca="1" si="0">IF(F3&lt;&gt;"",IF(G3="",NOW(),G3),"")</f>
        <v>46132.789566203704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6</v>
      </c>
      <c r="B4" s="4" t="s">
        <v>14</v>
      </c>
      <c r="C4" s="2"/>
      <c r="D4" s="2"/>
      <c r="E4" s="12">
        <v>103</v>
      </c>
      <c r="F4" s="12" t="s">
        <v>44</v>
      </c>
      <c r="G4" s="13">
        <f t="shared" ca="1" si="0"/>
        <v>46132.789566203704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"/>
      <c r="B5" s="2"/>
      <c r="C5" s="2"/>
      <c r="D5" s="2"/>
      <c r="E5" s="12">
        <v>104</v>
      </c>
      <c r="F5" s="12" t="s">
        <v>42</v>
      </c>
      <c r="G5" s="13">
        <f t="shared" ca="1" si="0"/>
        <v>46132.789566203704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8.8" x14ac:dyDescent="0.3">
      <c r="A6" s="2"/>
      <c r="B6" s="2"/>
      <c r="C6" s="2"/>
      <c r="D6" s="2"/>
      <c r="E6" s="12">
        <v>105</v>
      </c>
      <c r="F6" s="12" t="s">
        <v>45</v>
      </c>
      <c r="G6" s="13">
        <f t="shared" ca="1" si="0"/>
        <v>46132.789566203704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/>
      <c r="B7" s="2"/>
      <c r="C7" s="2"/>
      <c r="D7" s="2"/>
      <c r="E7" s="14">
        <v>106</v>
      </c>
      <c r="F7" s="9" t="s">
        <v>42</v>
      </c>
      <c r="G7" s="13">
        <f t="shared" ca="1" si="0"/>
        <v>46132.789566203704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/>
      <c r="B8" s="2"/>
      <c r="C8" s="2"/>
      <c r="D8" s="2"/>
      <c r="E8" s="14">
        <v>107</v>
      </c>
      <c r="F8" s="9" t="s">
        <v>46</v>
      </c>
      <c r="G8" s="13">
        <f t="shared" ca="1" si="0"/>
        <v>46132.792705439817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/>
      <c r="B9" s="2"/>
      <c r="C9" s="2"/>
      <c r="D9" s="2"/>
      <c r="E9" s="2"/>
      <c r="F9" s="2"/>
      <c r="G9" s="1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/>
      <c r="B10" s="2"/>
      <c r="C10" s="2"/>
      <c r="D10" s="2"/>
      <c r="E10" s="2"/>
      <c r="F10" s="2"/>
      <c r="G10" s="13" t="str">
        <f t="shared" ca="1" si="0"/>
        <v/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C11" s="2"/>
      <c r="D11" s="2"/>
      <c r="E11" s="2"/>
      <c r="F11" s="2"/>
      <c r="G11" s="13" t="str">
        <f t="shared" ca="1" si="0"/>
        <v/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"/>
      <c r="C12" s="2"/>
      <c r="D12" s="2"/>
      <c r="E12" s="2"/>
      <c r="F12" s="2"/>
      <c r="G12" s="13" t="str">
        <f t="shared" ca="1" si="0"/>
        <v/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2"/>
      <c r="C13" s="2"/>
      <c r="D13" s="2"/>
      <c r="E13" s="2"/>
      <c r="F13" s="2"/>
      <c r="G13" s="13" t="str">
        <f t="shared" ca="1" si="0"/>
        <v/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2"/>
      <c r="C14" s="2"/>
      <c r="D14" s="2"/>
      <c r="E14" s="2"/>
      <c r="F14" s="2"/>
      <c r="G14" s="13" t="str">
        <f t="shared" ca="1" si="0"/>
        <v/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2"/>
      <c r="C15" s="2"/>
      <c r="D15" s="2"/>
      <c r="E15" s="2"/>
      <c r="F15" s="2"/>
      <c r="G15" s="13" t="str">
        <f t="shared" ca="1" si="0"/>
        <v/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"/>
      <c r="C16" s="2"/>
      <c r="D16" s="2"/>
      <c r="E16" s="2"/>
      <c r="F16" s="2"/>
      <c r="G16" s="13" t="str">
        <f t="shared" ca="1" si="0"/>
        <v/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2"/>
      <c r="C17" s="2"/>
      <c r="D17" s="2"/>
      <c r="E17" s="2"/>
      <c r="F17" s="2"/>
      <c r="G17" s="13" t="str">
        <f t="shared" ca="1" si="0"/>
        <v/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2"/>
      <c r="C18" s="2"/>
      <c r="D18" s="2"/>
      <c r="E18" s="2"/>
      <c r="F18" s="2"/>
      <c r="G18" s="13" t="str">
        <f t="shared" ca="1" si="0"/>
        <v/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2"/>
      <c r="B19" s="2"/>
      <c r="C19" s="2"/>
      <c r="D19" s="2"/>
      <c r="E19" s="2"/>
      <c r="F19" s="2"/>
      <c r="G19" s="13" t="str">
        <f t="shared" ca="1" si="0"/>
        <v/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2"/>
      <c r="B20" s="2"/>
      <c r="C20" s="2"/>
      <c r="D20" s="2"/>
      <c r="E20" s="2"/>
      <c r="F20" s="2"/>
      <c r="G20" s="13" t="str">
        <f t="shared" ca="1" si="0"/>
        <v/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13" t="str">
        <f t="shared" ca="1" si="0"/>
        <v/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13" t="str">
        <f t="shared" ca="1" si="0"/>
        <v/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13" t="str">
        <f t="shared" ca="1" si="0"/>
        <v/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13" t="str">
        <f t="shared" ca="1" si="0"/>
        <v/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3C771-9F8B-4C12-9018-BD2A2AE1CC85}">
  <dimension ref="A3:Q24"/>
  <sheetViews>
    <sheetView workbookViewId="0">
      <selection activeCell="P23" sqref="P23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20" width="5" bestFit="1" customWidth="1"/>
    <col min="21" max="21" width="10.77734375" bestFit="1" customWidth="1"/>
  </cols>
  <sheetData>
    <row r="3" spans="1:17" x14ac:dyDescent="0.3">
      <c r="A3" s="15" t="s">
        <v>74</v>
      </c>
      <c r="B3" t="s">
        <v>75</v>
      </c>
      <c r="E3" s="19" t="s">
        <v>76</v>
      </c>
      <c r="F3" s="20"/>
      <c r="G3" s="20"/>
      <c r="H3" s="20"/>
      <c r="I3" s="20"/>
      <c r="K3" s="19" t="s">
        <v>77</v>
      </c>
      <c r="L3" s="20"/>
      <c r="M3" s="20"/>
      <c r="N3" s="20"/>
      <c r="O3" s="20"/>
      <c r="P3" s="20"/>
      <c r="Q3" s="20"/>
    </row>
    <row r="4" spans="1:17" x14ac:dyDescent="0.3">
      <c r="A4" s="16" t="s">
        <v>71</v>
      </c>
      <c r="B4" s="18">
        <v>9200</v>
      </c>
      <c r="E4" t="str">
        <f>INDEX(A4:A23,MATCH(LARGE(B4:B23,1),B4:B23,0))</f>
        <v>Deepak</v>
      </c>
      <c r="K4" t="str" cm="1">
        <f t="array" ref="K4:K12">_xlfn._xlws.FILTER(A4:A23,B4:B23&gt;7000)</f>
        <v>Deepak</v>
      </c>
    </row>
    <row r="5" spans="1:17" x14ac:dyDescent="0.3">
      <c r="A5" s="16" t="s">
        <v>67</v>
      </c>
      <c r="B5" s="18">
        <v>9000</v>
      </c>
      <c r="E5" t="str">
        <f>INDEX(A5:A24,MATCH(LARGE(B5:B24,2),B5:B24,0))</f>
        <v>Suresh</v>
      </c>
      <c r="K5" t="str">
        <v>Suresh</v>
      </c>
    </row>
    <row r="6" spans="1:17" x14ac:dyDescent="0.3">
      <c r="A6" s="16" t="s">
        <v>63</v>
      </c>
      <c r="B6" s="18">
        <v>8700</v>
      </c>
      <c r="E6" t="str">
        <f>INDEX(A6:A25,MATCH(LARGE(B6:B25,3),B6:B25,0))</f>
        <v>Rohan</v>
      </c>
      <c r="K6" t="str">
        <v>Vivek</v>
      </c>
    </row>
    <row r="7" spans="1:17" x14ac:dyDescent="0.3">
      <c r="A7" s="16" t="s">
        <v>59</v>
      </c>
      <c r="B7" s="18">
        <v>8500</v>
      </c>
      <c r="E7" t="str">
        <f>INDEX(A7:A26,MATCH(LARGE(B7:B26,4),B7:B26,0))</f>
        <v>Aman</v>
      </c>
      <c r="K7" t="str">
        <v>Rohan</v>
      </c>
    </row>
    <row r="8" spans="1:17" x14ac:dyDescent="0.3">
      <c r="A8" s="16" t="s">
        <v>54</v>
      </c>
      <c r="B8" s="18">
        <v>8000</v>
      </c>
      <c r="E8" t="str">
        <f>INDEX(A7:A26,MATCH(LARGE(B7:B26,5),B7:B26,0))</f>
        <v>Rohit</v>
      </c>
      <c r="K8" t="str">
        <v>Aman</v>
      </c>
    </row>
    <row r="9" spans="1:17" x14ac:dyDescent="0.3">
      <c r="A9" s="16" t="s">
        <v>69</v>
      </c>
      <c r="B9" s="17">
        <v>8000</v>
      </c>
      <c r="K9" t="str">
        <v>Manish</v>
      </c>
    </row>
    <row r="10" spans="1:17" x14ac:dyDescent="0.3">
      <c r="A10" s="16" t="s">
        <v>65</v>
      </c>
      <c r="B10" s="17">
        <v>7800</v>
      </c>
      <c r="K10" t="str">
        <v>Rohit</v>
      </c>
    </row>
    <row r="11" spans="1:17" x14ac:dyDescent="0.3">
      <c r="A11" s="16" t="s">
        <v>61</v>
      </c>
      <c r="B11" s="17">
        <v>7500</v>
      </c>
      <c r="K11" t="str">
        <v>Arjun</v>
      </c>
    </row>
    <row r="12" spans="1:17" x14ac:dyDescent="0.3">
      <c r="A12" s="16" t="s">
        <v>57</v>
      </c>
      <c r="B12" s="17">
        <v>7200</v>
      </c>
      <c r="K12" t="str">
        <v>Karan</v>
      </c>
    </row>
    <row r="13" spans="1:17" x14ac:dyDescent="0.3">
      <c r="A13" s="16" t="s">
        <v>50</v>
      </c>
      <c r="B13" s="17">
        <v>7000</v>
      </c>
    </row>
    <row r="14" spans="1:17" x14ac:dyDescent="0.3">
      <c r="A14" s="16" t="s">
        <v>70</v>
      </c>
      <c r="B14" s="17">
        <v>6600</v>
      </c>
    </row>
    <row r="15" spans="1:17" x14ac:dyDescent="0.3">
      <c r="A15" s="16" t="s">
        <v>66</v>
      </c>
      <c r="B15" s="17">
        <v>6400</v>
      </c>
    </row>
    <row r="16" spans="1:17" x14ac:dyDescent="0.3">
      <c r="A16" s="16" t="s">
        <v>62</v>
      </c>
      <c r="B16" s="17">
        <v>6200</v>
      </c>
    </row>
    <row r="17" spans="1:2" x14ac:dyDescent="0.3">
      <c r="A17" s="16" t="s">
        <v>58</v>
      </c>
      <c r="B17" s="17">
        <v>6100</v>
      </c>
    </row>
    <row r="18" spans="1:2" x14ac:dyDescent="0.3">
      <c r="A18" s="16" t="s">
        <v>52</v>
      </c>
      <c r="B18" s="17">
        <v>6000</v>
      </c>
    </row>
    <row r="19" spans="1:2" x14ac:dyDescent="0.3">
      <c r="A19" s="16" t="s">
        <v>68</v>
      </c>
      <c r="B19" s="17">
        <v>5800</v>
      </c>
    </row>
    <row r="20" spans="1:2" x14ac:dyDescent="0.3">
      <c r="A20" s="16" t="s">
        <v>64</v>
      </c>
      <c r="B20" s="17">
        <v>5600</v>
      </c>
    </row>
    <row r="21" spans="1:2" x14ac:dyDescent="0.3">
      <c r="A21" s="16" t="s">
        <v>56</v>
      </c>
      <c r="B21" s="17">
        <v>5500</v>
      </c>
    </row>
    <row r="22" spans="1:2" x14ac:dyDescent="0.3">
      <c r="A22" s="16" t="s">
        <v>60</v>
      </c>
      <c r="B22" s="17">
        <v>5300</v>
      </c>
    </row>
    <row r="23" spans="1:2" x14ac:dyDescent="0.3">
      <c r="A23" s="16" t="s">
        <v>48</v>
      </c>
      <c r="B23" s="17">
        <v>5000</v>
      </c>
    </row>
    <row r="24" spans="1:2" x14ac:dyDescent="0.3">
      <c r="A24" s="16" t="s">
        <v>73</v>
      </c>
      <c r="B24" s="17">
        <v>139400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11" sqref="B11"/>
    </sheetView>
  </sheetViews>
  <sheetFormatPr defaultColWidth="14.44140625" defaultRowHeight="15" customHeight="1" x14ac:dyDescent="0.3"/>
  <cols>
    <col min="1" max="1" width="8.6640625" customWidth="1"/>
    <col min="2" max="2" width="70.88671875" customWidth="1"/>
    <col min="3" max="8" width="8.6640625" customWidth="1"/>
    <col min="9" max="9" width="20" customWidth="1"/>
    <col min="10" max="10" width="18.109375" customWidth="1"/>
    <col min="11" max="26" width="8.6640625" customWidth="1"/>
  </cols>
  <sheetData>
    <row r="1" spans="1:26" ht="28.8" x14ac:dyDescent="0.3">
      <c r="A1" s="1" t="s">
        <v>0</v>
      </c>
      <c r="B1" s="1" t="s">
        <v>1</v>
      </c>
      <c r="C1" s="2"/>
      <c r="D1" s="2"/>
      <c r="E1" s="2"/>
      <c r="F1" s="5" t="s">
        <v>47</v>
      </c>
      <c r="G1" s="5" t="s">
        <v>32</v>
      </c>
      <c r="H1" s="5" t="s">
        <v>30</v>
      </c>
      <c r="I1" s="5" t="s">
        <v>78</v>
      </c>
      <c r="J1" s="5" t="s">
        <v>79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2</v>
      </c>
      <c r="B2" s="4" t="s">
        <v>15</v>
      </c>
      <c r="C2" s="2"/>
      <c r="D2" s="2"/>
      <c r="E2" s="2"/>
      <c r="F2" s="6" t="s">
        <v>48</v>
      </c>
      <c r="G2" s="6" t="s">
        <v>49</v>
      </c>
      <c r="H2" s="6">
        <v>5000</v>
      </c>
      <c r="I2" s="2" t="str" cm="1">
        <f t="array" ref="I2:I5">_xlfn.UNIQUE(G2:G21)</f>
        <v>North</v>
      </c>
      <c r="J2" s="2" cm="1">
        <f t="array" ref="J2:J5">SUMIF(G2:G21,_xlfn.ANCHORARRAY(I2),H2:H21)</f>
        <v>27200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3" t="s">
        <v>4</v>
      </c>
      <c r="B3" s="4" t="s">
        <v>16</v>
      </c>
      <c r="C3" s="2"/>
      <c r="D3" s="2"/>
      <c r="E3" s="2"/>
      <c r="F3" s="6" t="s">
        <v>50</v>
      </c>
      <c r="G3" s="6" t="s">
        <v>51</v>
      </c>
      <c r="H3" s="6">
        <v>7000</v>
      </c>
      <c r="I3" s="2" t="str">
        <v>South</v>
      </c>
      <c r="J3" s="2">
        <v>37500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6</v>
      </c>
      <c r="B4" s="4" t="s">
        <v>17</v>
      </c>
      <c r="C4" s="2"/>
      <c r="D4" s="2"/>
      <c r="E4" s="2"/>
      <c r="F4" s="6" t="s">
        <v>52</v>
      </c>
      <c r="G4" s="6" t="s">
        <v>53</v>
      </c>
      <c r="H4" s="6">
        <v>6000</v>
      </c>
      <c r="I4" s="2" t="str">
        <v>East</v>
      </c>
      <c r="J4" s="2">
        <v>31300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3" t="s">
        <v>8</v>
      </c>
      <c r="B5" s="4" t="s">
        <v>18</v>
      </c>
      <c r="C5" s="2"/>
      <c r="D5" s="2"/>
      <c r="E5" s="2"/>
      <c r="F5" s="6" t="s">
        <v>54</v>
      </c>
      <c r="G5" s="6" t="s">
        <v>55</v>
      </c>
      <c r="H5" s="6">
        <v>8000</v>
      </c>
      <c r="I5" s="2" t="str">
        <v>West</v>
      </c>
      <c r="J5" s="2">
        <v>43400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3" t="s">
        <v>10</v>
      </c>
      <c r="B6" s="4" t="s">
        <v>19</v>
      </c>
      <c r="C6" s="2"/>
      <c r="D6" s="2"/>
      <c r="E6" s="2"/>
      <c r="F6" s="6" t="s">
        <v>56</v>
      </c>
      <c r="G6" s="6" t="s">
        <v>49</v>
      </c>
      <c r="H6" s="6">
        <v>5500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/>
      <c r="B7" s="2"/>
      <c r="C7" s="2"/>
      <c r="D7" s="2"/>
      <c r="E7" s="2"/>
      <c r="F7" s="6" t="s">
        <v>57</v>
      </c>
      <c r="G7" s="6" t="s">
        <v>51</v>
      </c>
      <c r="H7" s="6">
        <v>7200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/>
      <c r="B8" s="2"/>
      <c r="C8" s="2"/>
      <c r="D8" s="2"/>
      <c r="E8" s="2"/>
      <c r="F8" s="6" t="s">
        <v>58</v>
      </c>
      <c r="G8" s="6" t="s">
        <v>53</v>
      </c>
      <c r="H8" s="6">
        <v>6100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/>
      <c r="B9" s="2"/>
      <c r="C9" s="2"/>
      <c r="D9" s="2"/>
      <c r="E9" s="2"/>
      <c r="F9" s="6" t="s">
        <v>59</v>
      </c>
      <c r="G9" s="6" t="s">
        <v>55</v>
      </c>
      <c r="H9" s="6">
        <v>8500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/>
      <c r="B10" s="2"/>
      <c r="C10" s="2"/>
      <c r="D10" s="2"/>
      <c r="E10" s="2"/>
      <c r="F10" s="6" t="s">
        <v>60</v>
      </c>
      <c r="G10" s="6" t="s">
        <v>49</v>
      </c>
      <c r="H10" s="6">
        <v>5300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4"/>
      <c r="C11" s="2"/>
      <c r="D11" s="2"/>
      <c r="E11" s="2"/>
      <c r="F11" s="6" t="s">
        <v>61</v>
      </c>
      <c r="G11" s="6" t="s">
        <v>51</v>
      </c>
      <c r="H11" s="6">
        <v>7500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"/>
      <c r="C12" s="2"/>
      <c r="D12" s="2"/>
      <c r="E12" s="2"/>
      <c r="F12" s="6" t="s">
        <v>62</v>
      </c>
      <c r="G12" s="6" t="s">
        <v>53</v>
      </c>
      <c r="H12" s="6">
        <v>6200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2"/>
      <c r="C13" s="2"/>
      <c r="D13" s="2"/>
      <c r="E13" s="2"/>
      <c r="F13" s="6" t="s">
        <v>63</v>
      </c>
      <c r="G13" s="6" t="s">
        <v>55</v>
      </c>
      <c r="H13" s="6">
        <v>8700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2"/>
      <c r="C14" s="2"/>
      <c r="D14" s="2"/>
      <c r="E14" s="2"/>
      <c r="F14" s="6" t="s">
        <v>64</v>
      </c>
      <c r="G14" s="6" t="s">
        <v>49</v>
      </c>
      <c r="H14" s="6">
        <v>5600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2"/>
      <c r="C15" s="2"/>
      <c r="D15" s="2"/>
      <c r="E15" s="2"/>
      <c r="F15" s="6" t="s">
        <v>65</v>
      </c>
      <c r="G15" s="6" t="s">
        <v>51</v>
      </c>
      <c r="H15" s="6">
        <v>7800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"/>
      <c r="C16" s="2"/>
      <c r="D16" s="2"/>
      <c r="E16" s="2"/>
      <c r="F16" s="6" t="s">
        <v>66</v>
      </c>
      <c r="G16" s="6" t="s">
        <v>53</v>
      </c>
      <c r="H16" s="6">
        <v>6400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2"/>
      <c r="C17" s="2"/>
      <c r="D17" s="2"/>
      <c r="E17" s="2"/>
      <c r="F17" s="6" t="s">
        <v>67</v>
      </c>
      <c r="G17" s="6" t="s">
        <v>55</v>
      </c>
      <c r="H17" s="6">
        <v>9000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2"/>
      <c r="C18" s="2"/>
      <c r="D18" s="2"/>
      <c r="E18" s="2"/>
      <c r="F18" s="6" t="s">
        <v>68</v>
      </c>
      <c r="G18" s="6" t="s">
        <v>49</v>
      </c>
      <c r="H18" s="6">
        <v>5800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2"/>
      <c r="C19" s="2"/>
      <c r="D19" s="2"/>
      <c r="E19" s="2"/>
      <c r="F19" s="6" t="s">
        <v>69</v>
      </c>
      <c r="G19" s="6" t="s">
        <v>51</v>
      </c>
      <c r="H19" s="6">
        <v>8000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2"/>
      <c r="C20" s="2"/>
      <c r="D20" s="2"/>
      <c r="E20" s="2"/>
      <c r="F20" s="6" t="s">
        <v>70</v>
      </c>
      <c r="G20" s="6" t="s">
        <v>53</v>
      </c>
      <c r="H20" s="6">
        <v>6600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6" t="s">
        <v>71</v>
      </c>
      <c r="G21" s="6" t="s">
        <v>55</v>
      </c>
      <c r="H21" s="6">
        <v>9200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J8" sqref="J8"/>
    </sheetView>
  </sheetViews>
  <sheetFormatPr defaultColWidth="15" defaultRowHeight="14.4" x14ac:dyDescent="0.3"/>
  <cols>
    <col min="1" max="1" width="4.77734375" bestFit="1" customWidth="1"/>
    <col min="2" max="2" width="53.21875" bestFit="1" customWidth="1"/>
    <col min="3" max="3" width="14.21875" bestFit="1" customWidth="1"/>
    <col min="4" max="4" width="6" bestFit="1" customWidth="1"/>
    <col min="6" max="6" width="14.21875" bestFit="1" customWidth="1"/>
    <col min="7" max="7" width="6" bestFit="1" customWidth="1"/>
  </cols>
  <sheetData>
    <row r="1" spans="1:26" x14ac:dyDescent="0.3">
      <c r="A1" s="1" t="s">
        <v>0</v>
      </c>
      <c r="B1" s="1" t="s">
        <v>1</v>
      </c>
      <c r="C1" s="2"/>
      <c r="D1" s="2"/>
      <c r="E1" s="2"/>
      <c r="F1" s="21" t="s">
        <v>80</v>
      </c>
      <c r="G1" s="21" t="s">
        <v>30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">
      <c r="A2" s="3" t="s">
        <v>2</v>
      </c>
      <c r="B2" s="4" t="s">
        <v>20</v>
      </c>
      <c r="C2" s="2"/>
      <c r="D2" s="2"/>
      <c r="E2" s="2"/>
      <c r="F2" s="22" t="s">
        <v>81</v>
      </c>
      <c r="G2" s="22">
        <v>50000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3">
      <c r="A3" s="3" t="s">
        <v>4</v>
      </c>
      <c r="B3" s="4" t="s">
        <v>21</v>
      </c>
      <c r="C3" s="2"/>
      <c r="D3" s="2"/>
      <c r="E3" s="2"/>
      <c r="F3" s="22" t="s">
        <v>100</v>
      </c>
      <c r="G3" s="22">
        <v>47000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3">
      <c r="A4" s="3" t="s">
        <v>6</v>
      </c>
      <c r="B4" s="4" t="s">
        <v>22</v>
      </c>
      <c r="C4" s="2"/>
      <c r="D4" s="2"/>
      <c r="E4" s="2"/>
      <c r="F4" s="22" t="s">
        <v>84</v>
      </c>
      <c r="G4" s="22">
        <v>45000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">
      <c r="A5" s="3" t="s">
        <v>8</v>
      </c>
      <c r="B5" s="4" t="s">
        <v>23</v>
      </c>
      <c r="C5" s="2"/>
      <c r="D5" s="2"/>
      <c r="E5" s="2"/>
      <c r="F5" s="22" t="s">
        <v>99</v>
      </c>
      <c r="G5" s="22">
        <v>42000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3">
      <c r="A6" s="3" t="s">
        <v>10</v>
      </c>
      <c r="B6" s="4" t="s">
        <v>24</v>
      </c>
      <c r="C6" s="2"/>
      <c r="D6" s="2"/>
      <c r="E6" s="2"/>
      <c r="F6" s="22" t="s">
        <v>88</v>
      </c>
      <c r="G6" s="22">
        <v>40000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3">
      <c r="A7" s="2"/>
      <c r="B7" s="2"/>
      <c r="C7" s="2"/>
      <c r="D7" s="2"/>
      <c r="E7" s="2"/>
      <c r="F7" s="22" t="s">
        <v>98</v>
      </c>
      <c r="G7" s="22">
        <v>38000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3">
      <c r="A8" s="2"/>
      <c r="B8" s="2"/>
      <c r="C8" s="2"/>
      <c r="D8" s="2"/>
      <c r="E8" s="2"/>
      <c r="F8" s="22" t="s">
        <v>86</v>
      </c>
      <c r="G8" s="22">
        <v>35000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3">
      <c r="A9" s="2"/>
      <c r="B9" s="23" t="s">
        <v>20</v>
      </c>
      <c r="C9" s="24" t="str">
        <f>INDEX(F2:F21,MATCH(LARGE(G2:G21,1),G2:G21,0))</f>
        <v>Laptop</v>
      </c>
      <c r="D9" s="2"/>
      <c r="E9" s="2"/>
      <c r="F9" s="22" t="s">
        <v>95</v>
      </c>
      <c r="G9" s="22">
        <v>32000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3">
      <c r="A10" s="2"/>
      <c r="B10" s="24"/>
      <c r="C10" s="24" t="str">
        <f>INDEX(F2:F21,MATCH(LARGE(G2:G21,2),G2:G21,0))</f>
        <v>Gaming Console</v>
      </c>
      <c r="D10" s="2"/>
      <c r="E10" s="2"/>
      <c r="F10" s="22" t="s">
        <v>82</v>
      </c>
      <c r="G10" s="22">
        <v>30000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3">
      <c r="A11" s="2"/>
      <c r="B11" s="24"/>
      <c r="C11" s="24" t="str">
        <f>INDEX(F2:F21,MATCH(LARGE(G2:G21,3),G2:G21,0))</f>
        <v>TV</v>
      </c>
      <c r="D11" s="2"/>
      <c r="E11" s="2"/>
      <c r="F11" s="22" t="s">
        <v>94</v>
      </c>
      <c r="G11" s="22">
        <v>27000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3">
      <c r="A12" s="2"/>
      <c r="B12" s="2"/>
      <c r="C12" s="2"/>
      <c r="D12" s="2"/>
      <c r="E12" s="2"/>
      <c r="F12" s="22" t="s">
        <v>87</v>
      </c>
      <c r="G12" s="22">
        <v>25000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">
      <c r="A13" s="2"/>
      <c r="B13" s="23" t="s">
        <v>21</v>
      </c>
      <c r="C13" s="24" t="str">
        <f>INDEX(F2:F21,MATCH(SMALL(G2:G21,1),G2:G21,0))</f>
        <v>Mouse</v>
      </c>
      <c r="D13" s="2"/>
      <c r="E13" s="2"/>
      <c r="F13" s="22" t="s">
        <v>92</v>
      </c>
      <c r="G13" s="22">
        <v>22000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">
      <c r="A14" s="2"/>
      <c r="B14" s="24"/>
      <c r="C14" s="24" t="str">
        <f>INDEX(F2:F21,MATCH(SMALL(G2:G21,2),G2:G21,0))</f>
        <v>Charger</v>
      </c>
      <c r="D14" s="2"/>
      <c r="E14" s="2"/>
      <c r="F14" s="22" t="s">
        <v>83</v>
      </c>
      <c r="G14" s="22">
        <v>20000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">
      <c r="A15" s="2"/>
      <c r="B15" s="24"/>
      <c r="C15" s="24" t="str">
        <f>INDEX(F2:F21,MATCH(SMALL(G2:G21,3),G2:G21,0))</f>
        <v>Keyboard</v>
      </c>
      <c r="D15" s="2"/>
      <c r="E15" s="2"/>
      <c r="F15" s="22" t="s">
        <v>91</v>
      </c>
      <c r="G15" s="22">
        <v>18000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">
      <c r="A16" s="2"/>
      <c r="B16" s="2"/>
      <c r="C16" s="2"/>
      <c r="D16" s="2"/>
      <c r="E16" s="2"/>
      <c r="F16" s="22" t="s">
        <v>85</v>
      </c>
      <c r="G16" s="22">
        <v>15000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">
      <c r="A17" s="2"/>
      <c r="B17" s="23" t="s">
        <v>22</v>
      </c>
      <c r="C17" s="24">
        <f>ROWS(F2:G21)</f>
        <v>20</v>
      </c>
      <c r="D17" s="2"/>
      <c r="E17" s="2"/>
      <c r="F17" s="22" t="s">
        <v>96</v>
      </c>
      <c r="G17" s="22">
        <v>14000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">
      <c r="A18" s="2"/>
      <c r="B18" s="2"/>
      <c r="C18" s="2"/>
      <c r="D18" s="2"/>
      <c r="E18" s="2"/>
      <c r="F18" s="22" t="s">
        <v>93</v>
      </c>
      <c r="G18" s="22">
        <v>12000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">
      <c r="A19" s="2"/>
      <c r="B19" s="23" t="s">
        <v>23</v>
      </c>
      <c r="C19" s="24" cm="1">
        <f t="array" ref="C19:C23">_xlfn.SEQUENCE(5)</f>
        <v>1</v>
      </c>
      <c r="D19" s="2"/>
      <c r="E19" s="2"/>
      <c r="F19" s="22" t="s">
        <v>89</v>
      </c>
      <c r="G19" s="22">
        <v>10000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">
      <c r="A20" s="2"/>
      <c r="B20" s="24"/>
      <c r="C20" s="24">
        <v>2</v>
      </c>
      <c r="D20" s="2"/>
      <c r="E20" s="2"/>
      <c r="F20" s="22" t="s">
        <v>97</v>
      </c>
      <c r="G20" s="22">
        <v>9000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">
      <c r="A21" s="2"/>
      <c r="B21" s="24"/>
      <c r="C21" s="24">
        <v>3</v>
      </c>
      <c r="D21" s="2"/>
      <c r="E21" s="2"/>
      <c r="F21" s="22" t="s">
        <v>90</v>
      </c>
      <c r="G21" s="22">
        <v>8000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">
      <c r="A22" s="2"/>
      <c r="B22" s="24"/>
      <c r="C22" s="24">
        <v>4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">
      <c r="A23" s="2"/>
      <c r="B23" s="24"/>
      <c r="C23" s="24">
        <v>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">
      <c r="A25" s="2"/>
      <c r="B25" s="23" t="s">
        <v>24</v>
      </c>
      <c r="C25" s="24" t="str" cm="1">
        <f t="array" ref="C25:C34">INDEX(F2:F21,_xlfn.SEQUENCE(10))</f>
        <v>Laptop</v>
      </c>
      <c r="D25" s="24" cm="1">
        <f t="array" ref="D25:D34">INDEX(G2:G21,_xlfn.SEQUENCE(10))</f>
        <v>50000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">
      <c r="A26" s="2"/>
      <c r="B26" s="24"/>
      <c r="C26" s="24" t="str">
        <v>Gaming Console</v>
      </c>
      <c r="D26" s="24">
        <v>47000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">
      <c r="A27" s="2"/>
      <c r="B27" s="24"/>
      <c r="C27" s="24" t="str">
        <v>TV</v>
      </c>
      <c r="D27" s="24">
        <v>45000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">
      <c r="A28" s="2"/>
      <c r="B28" s="24"/>
      <c r="C28" s="24" t="str">
        <v>Projector</v>
      </c>
      <c r="D28" s="24">
        <v>42000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">
      <c r="A29" s="2"/>
      <c r="B29" s="24"/>
      <c r="C29" s="24" t="str">
        <v>Monitor</v>
      </c>
      <c r="D29" s="24">
        <v>40000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">
      <c r="A30" s="2"/>
      <c r="B30" s="24"/>
      <c r="C30" s="24" t="str">
        <v>Drone</v>
      </c>
      <c r="D30" s="24">
        <v>38000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">
      <c r="A31" s="2"/>
      <c r="B31" s="24"/>
      <c r="C31" s="24" t="str">
        <v>Camera</v>
      </c>
      <c r="D31" s="24">
        <v>35000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">
      <c r="A32" s="2"/>
      <c r="B32" s="24"/>
      <c r="C32" s="24" t="str">
        <v>SSD</v>
      </c>
      <c r="D32" s="24">
        <v>32000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">
      <c r="A33" s="2"/>
      <c r="B33" s="24"/>
      <c r="C33" s="24" t="str">
        <v>Mobile</v>
      </c>
      <c r="D33" s="24">
        <v>30000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">
      <c r="A34" s="2"/>
      <c r="B34" s="24"/>
      <c r="C34" s="24" t="str">
        <v>Hard Disk</v>
      </c>
      <c r="D34" s="24">
        <v>27000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sortState xmlns:xlrd2="http://schemas.microsoft.com/office/spreadsheetml/2017/richdata2" ref="F2:G21">
    <sortCondition descending="1" ref="G2:G21"/>
  </sortState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5C2A0-FC96-4735-AB01-633E634A8006}">
  <dimension ref="A3:B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20" width="5" bestFit="1" customWidth="1"/>
    <col min="21" max="21" width="10.77734375" bestFit="1" customWidth="1"/>
  </cols>
  <sheetData>
    <row r="3" spans="1:2" x14ac:dyDescent="0.3">
      <c r="A3" s="15" t="s">
        <v>74</v>
      </c>
      <c r="B3" t="s">
        <v>75</v>
      </c>
    </row>
    <row r="4" spans="1:2" x14ac:dyDescent="0.3">
      <c r="A4" s="16" t="s">
        <v>53</v>
      </c>
      <c r="B4" s="17">
        <v>31300</v>
      </c>
    </row>
    <row r="5" spans="1:2" x14ac:dyDescent="0.3">
      <c r="A5" s="16" t="s">
        <v>49</v>
      </c>
      <c r="B5" s="17">
        <v>27200</v>
      </c>
    </row>
    <row r="6" spans="1:2" x14ac:dyDescent="0.3">
      <c r="A6" s="16" t="s">
        <v>51</v>
      </c>
      <c r="B6" s="17">
        <v>37500</v>
      </c>
    </row>
    <row r="7" spans="1:2" x14ac:dyDescent="0.3">
      <c r="A7" s="16" t="s">
        <v>55</v>
      </c>
      <c r="B7" s="17">
        <v>43400</v>
      </c>
    </row>
    <row r="8" spans="1:2" x14ac:dyDescent="0.3">
      <c r="A8" s="16" t="s">
        <v>73</v>
      </c>
      <c r="B8" s="17">
        <v>139400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CB363-C552-446B-9008-00BC8A18D444}">
  <dimension ref="A3:N9"/>
  <sheetViews>
    <sheetView workbookViewId="0">
      <selection activeCell="A5" sqref="A5:M8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9" width="6" bestFit="1" customWidth="1"/>
    <col min="10" max="13" width="5" bestFit="1" customWidth="1"/>
    <col min="14" max="14" width="10.77734375" bestFit="1" customWidth="1"/>
  </cols>
  <sheetData>
    <row r="3" spans="1:14" x14ac:dyDescent="0.3">
      <c r="A3" s="15" t="s">
        <v>75</v>
      </c>
      <c r="B3" s="15" t="s">
        <v>72</v>
      </c>
    </row>
    <row r="4" spans="1:14" x14ac:dyDescent="0.3">
      <c r="A4" s="15" t="s">
        <v>74</v>
      </c>
      <c r="B4" t="s">
        <v>102</v>
      </c>
      <c r="C4" t="s">
        <v>103</v>
      </c>
      <c r="D4" t="s">
        <v>104</v>
      </c>
      <c r="E4" t="s">
        <v>105</v>
      </c>
      <c r="F4" t="s">
        <v>106</v>
      </c>
      <c r="G4" t="s">
        <v>107</v>
      </c>
      <c r="H4" t="s">
        <v>108</v>
      </c>
      <c r="I4" t="s">
        <v>109</v>
      </c>
      <c r="J4" t="s">
        <v>110</v>
      </c>
      <c r="K4" t="s">
        <v>111</v>
      </c>
      <c r="L4" t="s">
        <v>112</v>
      </c>
      <c r="M4" t="s">
        <v>113</v>
      </c>
      <c r="N4" t="s">
        <v>73</v>
      </c>
    </row>
    <row r="5" spans="1:14" x14ac:dyDescent="0.3">
      <c r="A5" s="16" t="s">
        <v>53</v>
      </c>
      <c r="B5" s="17"/>
      <c r="C5" s="17"/>
      <c r="D5" s="17">
        <v>12400</v>
      </c>
      <c r="E5" s="17"/>
      <c r="F5" s="17"/>
      <c r="G5" s="17"/>
      <c r="H5" s="17">
        <v>12700</v>
      </c>
      <c r="I5" s="17"/>
      <c r="J5" s="17"/>
      <c r="K5" s="17"/>
      <c r="L5" s="17">
        <v>6200</v>
      </c>
      <c r="M5" s="17"/>
      <c r="N5" s="17">
        <v>31300</v>
      </c>
    </row>
    <row r="6" spans="1:14" x14ac:dyDescent="0.3">
      <c r="A6" s="16" t="s">
        <v>49</v>
      </c>
      <c r="B6" s="17">
        <v>10600</v>
      </c>
      <c r="C6" s="17"/>
      <c r="D6" s="17"/>
      <c r="E6" s="17"/>
      <c r="F6" s="17">
        <v>11300</v>
      </c>
      <c r="G6" s="17"/>
      <c r="H6" s="17"/>
      <c r="I6" s="17"/>
      <c r="J6" s="17">
        <v>5300</v>
      </c>
      <c r="K6" s="17"/>
      <c r="L6" s="17"/>
      <c r="M6" s="17"/>
      <c r="N6" s="17">
        <v>27200</v>
      </c>
    </row>
    <row r="7" spans="1:14" x14ac:dyDescent="0.3">
      <c r="A7" s="16" t="s">
        <v>51</v>
      </c>
      <c r="B7" s="17"/>
      <c r="C7" s="17">
        <v>14800</v>
      </c>
      <c r="D7" s="17"/>
      <c r="E7" s="17"/>
      <c r="F7" s="17"/>
      <c r="G7" s="17">
        <v>15200</v>
      </c>
      <c r="H7" s="17"/>
      <c r="I7" s="17"/>
      <c r="J7" s="17"/>
      <c r="K7" s="17">
        <v>7500</v>
      </c>
      <c r="L7" s="17"/>
      <c r="M7" s="17"/>
      <c r="N7" s="17">
        <v>37500</v>
      </c>
    </row>
    <row r="8" spans="1:14" x14ac:dyDescent="0.3">
      <c r="A8" s="16" t="s">
        <v>55</v>
      </c>
      <c r="B8" s="17"/>
      <c r="C8" s="17"/>
      <c r="D8" s="17"/>
      <c r="E8" s="17">
        <v>17000</v>
      </c>
      <c r="F8" s="17"/>
      <c r="G8" s="17"/>
      <c r="H8" s="17"/>
      <c r="I8" s="17">
        <v>17700</v>
      </c>
      <c r="J8" s="17"/>
      <c r="K8" s="17"/>
      <c r="L8" s="17"/>
      <c r="M8" s="17">
        <v>8700</v>
      </c>
      <c r="N8" s="17">
        <v>43400</v>
      </c>
    </row>
    <row r="9" spans="1:14" x14ac:dyDescent="0.3">
      <c r="A9" s="16" t="s">
        <v>73</v>
      </c>
      <c r="B9" s="17">
        <v>10600</v>
      </c>
      <c r="C9" s="17">
        <v>14800</v>
      </c>
      <c r="D9" s="17">
        <v>12400</v>
      </c>
      <c r="E9" s="17">
        <v>17000</v>
      </c>
      <c r="F9" s="17">
        <v>11300</v>
      </c>
      <c r="G9" s="17">
        <v>15200</v>
      </c>
      <c r="H9" s="17">
        <v>12700</v>
      </c>
      <c r="I9" s="17">
        <v>17700</v>
      </c>
      <c r="J9" s="17">
        <v>5300</v>
      </c>
      <c r="K9" s="17">
        <v>7500</v>
      </c>
      <c r="L9" s="17">
        <v>6200</v>
      </c>
      <c r="M9" s="17">
        <v>8700</v>
      </c>
      <c r="N9" s="17">
        <v>139400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abSelected="1" workbookViewId="0">
      <selection activeCell="L23" sqref="L23"/>
    </sheetView>
  </sheetViews>
  <sheetFormatPr defaultColWidth="14.44140625" defaultRowHeight="15" customHeight="1" x14ac:dyDescent="0.3"/>
  <cols>
    <col min="1" max="1" width="8.6640625" customWidth="1"/>
    <col min="2" max="2" width="66.109375" customWidth="1"/>
    <col min="3" max="3" width="16.21875" bestFit="1" customWidth="1"/>
    <col min="4" max="26" width="8.6640625" customWidth="1"/>
  </cols>
  <sheetData>
    <row r="1" spans="1:26" ht="14.4" x14ac:dyDescent="0.3">
      <c r="A1" s="1" t="s">
        <v>0</v>
      </c>
      <c r="B1" s="1" t="s">
        <v>1</v>
      </c>
      <c r="C1" s="2"/>
      <c r="D1" s="2"/>
      <c r="E1" s="2"/>
      <c r="F1" s="5" t="s">
        <v>101</v>
      </c>
      <c r="G1" s="5" t="s">
        <v>30</v>
      </c>
      <c r="H1" s="5" t="s">
        <v>32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2</v>
      </c>
      <c r="B2" s="4" t="s">
        <v>25</v>
      </c>
      <c r="C2" s="2"/>
      <c r="D2" s="2"/>
      <c r="E2" s="2"/>
      <c r="F2" s="6" t="s">
        <v>102</v>
      </c>
      <c r="G2" s="6">
        <v>5000</v>
      </c>
      <c r="H2" s="6" t="s">
        <v>49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3" t="s">
        <v>4</v>
      </c>
      <c r="B3" s="4" t="s">
        <v>26</v>
      </c>
      <c r="C3" s="2"/>
      <c r="D3" s="2"/>
      <c r="E3" s="2"/>
      <c r="F3" s="6" t="s">
        <v>103</v>
      </c>
      <c r="G3" s="6">
        <v>7000</v>
      </c>
      <c r="H3" s="6" t="s">
        <v>51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6</v>
      </c>
      <c r="B4" s="4" t="s">
        <v>27</v>
      </c>
      <c r="C4" s="2"/>
      <c r="D4" s="2"/>
      <c r="E4" s="2"/>
      <c r="F4" s="6" t="s">
        <v>104</v>
      </c>
      <c r="G4" s="6">
        <v>6000</v>
      </c>
      <c r="H4" s="6" t="s">
        <v>53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3" t="s">
        <v>8</v>
      </c>
      <c r="B5" s="4" t="s">
        <v>28</v>
      </c>
      <c r="C5" s="2"/>
      <c r="D5" s="2"/>
      <c r="E5" s="2"/>
      <c r="F5" s="6" t="s">
        <v>105</v>
      </c>
      <c r="G5" s="6">
        <v>8000</v>
      </c>
      <c r="H5" s="6" t="s">
        <v>55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3" t="s">
        <v>10</v>
      </c>
      <c r="B6" s="4" t="s">
        <v>29</v>
      </c>
      <c r="C6" s="2"/>
      <c r="D6" s="2"/>
      <c r="E6" s="2"/>
      <c r="F6" s="6" t="s">
        <v>106</v>
      </c>
      <c r="G6" s="6">
        <v>5500</v>
      </c>
      <c r="H6" s="6" t="s">
        <v>49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/>
      <c r="B7" s="2"/>
      <c r="C7" s="2"/>
      <c r="D7" s="2"/>
      <c r="E7" s="2"/>
      <c r="F7" s="6" t="s">
        <v>107</v>
      </c>
      <c r="G7" s="6">
        <v>7200</v>
      </c>
      <c r="H7" s="6" t="s">
        <v>51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/>
      <c r="B8" s="2"/>
      <c r="C8" s="2"/>
      <c r="D8" s="2"/>
      <c r="E8" s="2"/>
      <c r="F8" s="6" t="s">
        <v>108</v>
      </c>
      <c r="G8" s="6">
        <v>6100</v>
      </c>
      <c r="H8" s="6" t="s">
        <v>53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/>
      <c r="B9" s="23" t="s">
        <v>25</v>
      </c>
      <c r="C9" s="25" t="s">
        <v>114</v>
      </c>
      <c r="D9" s="24">
        <f>AVERAGE(G2:G21)</f>
        <v>6970</v>
      </c>
      <c r="E9" s="2"/>
      <c r="F9" s="6" t="s">
        <v>109</v>
      </c>
      <c r="G9" s="6">
        <v>8500</v>
      </c>
      <c r="H9" s="6" t="s">
        <v>55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/>
      <c r="B10" s="24"/>
      <c r="C10" s="26" t="s">
        <v>115</v>
      </c>
      <c r="D10" s="24">
        <f>MEDIAN(G2:G21)</f>
        <v>6800</v>
      </c>
      <c r="E10" s="2"/>
      <c r="F10" s="6" t="s">
        <v>110</v>
      </c>
      <c r="G10" s="6">
        <v>5300</v>
      </c>
      <c r="H10" s="6" t="s">
        <v>49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24"/>
      <c r="C11" s="26" t="s">
        <v>116</v>
      </c>
      <c r="D11" s="24">
        <f>MODE(G2:G21)</f>
        <v>8000</v>
      </c>
      <c r="E11" s="2"/>
      <c r="F11" s="6" t="s">
        <v>111</v>
      </c>
      <c r="G11" s="6">
        <v>7500</v>
      </c>
      <c r="H11" s="6" t="s">
        <v>51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"/>
      <c r="C12" s="2"/>
      <c r="D12" s="2"/>
      <c r="E12" s="2"/>
      <c r="F12" s="6" t="s">
        <v>112</v>
      </c>
      <c r="G12" s="6">
        <v>6200</v>
      </c>
      <c r="H12" s="6" t="s">
        <v>53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23" t="s">
        <v>26</v>
      </c>
      <c r="C13" s="27" t="s">
        <v>117</v>
      </c>
      <c r="D13" s="24">
        <f>_xlfn.STDEV.P(G2:G21)</f>
        <v>1272.8314892396402</v>
      </c>
      <c r="E13" s="2"/>
      <c r="F13" s="6" t="s">
        <v>113</v>
      </c>
      <c r="G13" s="6">
        <v>8700</v>
      </c>
      <c r="H13" s="6" t="s">
        <v>55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24"/>
      <c r="C14" s="24" t="s">
        <v>118</v>
      </c>
      <c r="D14" s="24">
        <f>STDEV(G2:G21)</f>
        <v>1305.8975538121786</v>
      </c>
      <c r="E14" s="2"/>
      <c r="F14" s="6" t="s">
        <v>102</v>
      </c>
      <c r="G14" s="6">
        <v>5600</v>
      </c>
      <c r="H14" s="6" t="s">
        <v>49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2"/>
      <c r="C15" s="2"/>
      <c r="D15" s="2"/>
      <c r="E15" s="2"/>
      <c r="F15" s="6" t="s">
        <v>103</v>
      </c>
      <c r="G15" s="6">
        <v>7800</v>
      </c>
      <c r="H15" s="6" t="s">
        <v>51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3" t="s">
        <v>27</v>
      </c>
      <c r="C16" s="24" t="s">
        <v>119</v>
      </c>
      <c r="D16" s="24">
        <f>QUARTILE(G2:G21,1)</f>
        <v>5950</v>
      </c>
      <c r="E16" s="2"/>
      <c r="F16" s="6" t="s">
        <v>104</v>
      </c>
      <c r="G16" s="6">
        <v>6400</v>
      </c>
      <c r="H16" s="6" t="s">
        <v>53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24"/>
      <c r="C17" s="24" t="s">
        <v>120</v>
      </c>
      <c r="D17" s="24">
        <f>QUARTILE(G2:G21,2)</f>
        <v>6800</v>
      </c>
      <c r="E17" s="2"/>
      <c r="F17" s="6" t="s">
        <v>105</v>
      </c>
      <c r="G17" s="6">
        <v>9000</v>
      </c>
      <c r="H17" s="6" t="s">
        <v>55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24"/>
      <c r="C18" s="24" t="s">
        <v>121</v>
      </c>
      <c r="D18" s="24">
        <f>QUARTILE(G2:G21,3)</f>
        <v>8000</v>
      </c>
      <c r="E18" s="2"/>
      <c r="F18" s="6" t="s">
        <v>106</v>
      </c>
      <c r="G18" s="6">
        <v>5800</v>
      </c>
      <c r="H18" s="6" t="s">
        <v>49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24"/>
      <c r="C19" s="24"/>
      <c r="D19" s="24"/>
      <c r="E19" s="2"/>
      <c r="F19" s="6" t="s">
        <v>107</v>
      </c>
      <c r="G19" s="6">
        <v>8000</v>
      </c>
      <c r="H19" s="6" t="s">
        <v>51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24"/>
      <c r="C20" s="24" t="s">
        <v>122</v>
      </c>
      <c r="D20" s="24">
        <f>PERCENTILE(G2:G21,0.5)</f>
        <v>6800</v>
      </c>
      <c r="E20" s="2"/>
      <c r="F20" s="6" t="s">
        <v>108</v>
      </c>
      <c r="G20" s="6">
        <v>6600</v>
      </c>
      <c r="H20" s="6" t="s">
        <v>53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6" t="s">
        <v>109</v>
      </c>
      <c r="G21" s="6">
        <v>9200</v>
      </c>
      <c r="H21" s="6" t="s">
        <v>55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3" t="s">
        <v>28</v>
      </c>
      <c r="C23" s="24" t="s">
        <v>123</v>
      </c>
      <c r="D23" s="24" t="s">
        <v>124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6" type="noConversion"/>
  <conditionalFormatting sqref="G2:G21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{54578379-B56B-4F87-904F-120DDFE561AF}</x14:id>
        </ext>
      </extLst>
    </cfRule>
  </conditionalFormatting>
  <pageMargins left="0.75" right="0.75" top="1" bottom="1" header="0" footer="0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578379-B56B-4F87-904F-120DDFE561A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G2:G21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Custom Formatting</vt:lpstr>
      <vt:lpstr>Create Timestamp</vt:lpstr>
      <vt:lpstr>pivot 1</vt:lpstr>
      <vt:lpstr>GROUPBY Function</vt:lpstr>
      <vt:lpstr>Other Useful Functions</vt:lpstr>
      <vt:lpstr>pivot 2</vt:lpstr>
      <vt:lpstr>PIVOT 3</vt:lpstr>
      <vt:lpstr>Advanced Descriptive 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Bhesania</cp:lastModifiedBy>
  <dcterms:modified xsi:type="dcterms:W3CDTF">2026-04-20T17:52:25Z</dcterms:modified>
</cp:coreProperties>
</file>