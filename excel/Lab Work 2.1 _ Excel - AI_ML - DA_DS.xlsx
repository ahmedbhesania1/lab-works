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149" documentId="11_44E583A39DDB38C97104BEF49DB7F8E9308E732C" xr6:coauthVersionLast="47" xr6:coauthVersionMax="47" xr10:uidLastSave="{D8924323-68F6-41B4-A2ED-C2951CD6747F}"/>
  <bookViews>
    <workbookView xWindow="-108" yWindow="-108" windowWidth="23256" windowHeight="12456" firstSheet="1" activeTab="3" xr2:uid="{00000000-000D-0000-FFFF-FFFF00000000}"/>
  </bookViews>
  <sheets>
    <sheet name="IF and Nesting IF Functions" sheetId="1" r:id="rId1"/>
    <sheet name="Using IF with AND OR Formulas" sheetId="2" r:id="rId2"/>
    <sheet name="COUNTIFS, SUMIFS, AVERAGEIFS" sheetId="3" r:id="rId3"/>
    <sheet name="Excel TEXT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D10" i="4"/>
  <c r="D9" i="4"/>
  <c r="D8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C9" i="3"/>
  <c r="C12" i="3"/>
  <c r="C11" i="3"/>
  <c r="C10" i="3"/>
  <c r="C8" i="3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3" i="2"/>
  <c r="S4" i="2"/>
  <c r="S5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  <c r="L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<sst xmlns="http://schemas.openxmlformats.org/spreadsheetml/2006/main" count="372" uniqueCount="157">
  <si>
    <t>Task</t>
  </si>
  <si>
    <t>Challenge</t>
  </si>
  <si>
    <t>1</t>
  </si>
  <si>
    <t>Write an IF formula to check if a student's score is above 50. If yes, return 'Pass', otherwise 'Fail'.</t>
  </si>
  <si>
    <t>2</t>
  </si>
  <si>
    <t>Create a nested IF formula to assign grades: A (90-100), B (80-89), C (70-79), D (60-69), F (below 60).</t>
  </si>
  <si>
    <t>3</t>
  </si>
  <si>
    <t>Use an IF formula to check if a given date is a weekend or a weekday.</t>
  </si>
  <si>
    <t>4</t>
  </si>
  <si>
    <t>Write a formula to determine commission rates: 5% if sales &gt; 5000, 3% if sales between 2000-5000, else 1%.</t>
  </si>
  <si>
    <t>5</t>
  </si>
  <si>
    <t>Create a formula to categorize expenses: 'High' if above $1000, 'Medium' if between $500-$1000, 'Low' otherwise.</t>
  </si>
  <si>
    <t>Use IF with AND to check if a student scored above 80 in both Math and Science; return 'Excellent' otherwise 'Needs Improvement'.</t>
  </si>
  <si>
    <t>Use IF with OR to determine if an order qualifies for free shipping (total &gt; 100 OR membership = 'Gold').</t>
  </si>
  <si>
    <t>Check if an employee is eligible for a bonus: Sales &gt; 10000 AND Experience &gt; 5 years.</t>
  </si>
  <si>
    <t>Write an IF formula with OR to check if a product is out of stock (Stock = 0 OR Status = 'Discontinued').</t>
  </si>
  <si>
    <t>Use IF with AND to verify if a candidate qualifies for an interview (Experience &gt; 3 years AND Degree = 'Yes').</t>
  </si>
  <si>
    <t>Use COUNTIFS to count the number of students who scored above 80 in both Math and Science.</t>
  </si>
  <si>
    <t>Use SUMIFS to calculate the total sales for a specific region and product category.</t>
  </si>
  <si>
    <t>Use AVERAGEIFS to find the average salary of employees in the 'IT' department with more than 5 years of experience.</t>
  </si>
  <si>
    <t>Use COUNTIFS to determine how many orders were placed in 'January' and have a status of 'Completed'.</t>
  </si>
  <si>
    <t>Use SUMIFS to get the total revenue for sales greater than $500 in the 'Electronics' category.</t>
  </si>
  <si>
    <t>Use CONCATENATE (or TEXTJOIN) to merge first and last names into a full name.</t>
  </si>
  <si>
    <t>Use LEFT, RIGHT, and MID functions to extract specific parts of a given string.</t>
  </si>
  <si>
    <t>Format a given date using the TEXT function to display it as 'Monday, Jan 1, 2025'.</t>
  </si>
  <si>
    <t>Convert a number into a properly formatted currency value using the TEXT function.</t>
  </si>
  <si>
    <t>Use FIND and LEN functions to extract the last name from a full name.</t>
  </si>
  <si>
    <t>ID</t>
  </si>
  <si>
    <t>Student Name</t>
  </si>
  <si>
    <t>Score</t>
  </si>
  <si>
    <t>Date</t>
  </si>
  <si>
    <t>Sales</t>
  </si>
  <si>
    <t>Expense</t>
  </si>
  <si>
    <t>Ahmed</t>
  </si>
  <si>
    <t>Rahul</t>
  </si>
  <si>
    <t>Sneha</t>
  </si>
  <si>
    <t>Aman</t>
  </si>
  <si>
    <t>Priya</t>
  </si>
  <si>
    <t>Karan</t>
  </si>
  <si>
    <t>Neha</t>
  </si>
  <si>
    <t>Rohan</t>
  </si>
  <si>
    <t>Meena</t>
  </si>
  <si>
    <t>Arjun</t>
  </si>
  <si>
    <t>Pooja</t>
  </si>
  <si>
    <t>Vivek</t>
  </si>
  <si>
    <t>Kavya</t>
  </si>
  <si>
    <t>Rohit</t>
  </si>
  <si>
    <t>Anjali</t>
  </si>
  <si>
    <t>Suresh</t>
  </si>
  <si>
    <t>Tina</t>
  </si>
  <si>
    <t>Manish</t>
  </si>
  <si>
    <t>Rekha</t>
  </si>
  <si>
    <t>Deepak</t>
  </si>
  <si>
    <t>Status</t>
  </si>
  <si>
    <t>grade</t>
  </si>
  <si>
    <t>day</t>
  </si>
  <si>
    <t>Commission</t>
  </si>
  <si>
    <t>expenses</t>
  </si>
  <si>
    <t>Name</t>
  </si>
  <si>
    <t>Math</t>
  </si>
  <si>
    <t>Science</t>
  </si>
  <si>
    <t>Order Total</t>
  </si>
  <si>
    <t>Membership</t>
  </si>
  <si>
    <t>Experience (Years)</t>
  </si>
  <si>
    <t>Stock</t>
  </si>
  <si>
    <t>Degree</t>
  </si>
  <si>
    <t>Gold</t>
  </si>
  <si>
    <t>Active</t>
  </si>
  <si>
    <t>Yes</t>
  </si>
  <si>
    <t>Silver</t>
  </si>
  <si>
    <t>No</t>
  </si>
  <si>
    <t>Bronze</t>
  </si>
  <si>
    <t>Discontinued</t>
  </si>
  <si>
    <t>STATUS</t>
  </si>
  <si>
    <t>SHIPPING</t>
  </si>
  <si>
    <t>BONUS ELIGIBILTY</t>
  </si>
  <si>
    <t>AVAILABILITY</t>
  </si>
  <si>
    <t>Interview qualification</t>
  </si>
  <si>
    <t>Region</t>
  </si>
  <si>
    <t>Category</t>
  </si>
  <si>
    <t>Department</t>
  </si>
  <si>
    <t>Experience</t>
  </si>
  <si>
    <t>Salary</t>
  </si>
  <si>
    <t>Month</t>
  </si>
  <si>
    <t>Revenue</t>
  </si>
  <si>
    <t>West</t>
  </si>
  <si>
    <t>Electronics</t>
  </si>
  <si>
    <t>IT</t>
  </si>
  <si>
    <t>January</t>
  </si>
  <si>
    <t>Completed</t>
  </si>
  <si>
    <t>North</t>
  </si>
  <si>
    <t>Clothing</t>
  </si>
  <si>
    <t>HR</t>
  </si>
  <si>
    <t>February</t>
  </si>
  <si>
    <t>Pending</t>
  </si>
  <si>
    <t>South</t>
  </si>
  <si>
    <t>East</t>
  </si>
  <si>
    <t>Furniture</t>
  </si>
  <si>
    <t>March</t>
  </si>
  <si>
    <t>April</t>
  </si>
  <si>
    <t>SUM OF SALES OF WEST IN ELECTRONICS</t>
  </si>
  <si>
    <t>AVERAGE SALARY OF IT DEPARTMENT WITH 5 YEARS OF EXP</t>
  </si>
  <si>
    <t>COUNT OF STUDENT WHOSE MARKS ARE ABOVE 80 IN BOTH MATHS AND SCIENCE</t>
  </si>
  <si>
    <t>COUNT OF ORDERS PLACED IN JANUARY AND STATUS IS COMPLETED</t>
  </si>
  <si>
    <t>SUM OF REVENUE WHOSE SALES IS GREATER THAN 500 IN ELECTRONICS CATEGORY</t>
  </si>
  <si>
    <t>First Name</t>
  </si>
  <si>
    <t>Last Name</t>
  </si>
  <si>
    <t>Code</t>
  </si>
  <si>
    <t>Amount</t>
  </si>
  <si>
    <t>Khan</t>
  </si>
  <si>
    <t>EMP001IN</t>
  </si>
  <si>
    <t>Sharma</t>
  </si>
  <si>
    <t>EMP002US</t>
  </si>
  <si>
    <t>Patel</t>
  </si>
  <si>
    <t>EMP003UK</t>
  </si>
  <si>
    <t>Verma</t>
  </si>
  <si>
    <t>EMP004AU</t>
  </si>
  <si>
    <t>Mehta</t>
  </si>
  <si>
    <t>EMP005CA</t>
  </si>
  <si>
    <t>Singh</t>
  </si>
  <si>
    <t>EMP006IN</t>
  </si>
  <si>
    <t>Gupta</t>
  </si>
  <si>
    <t>EMP007US</t>
  </si>
  <si>
    <t>Das</t>
  </si>
  <si>
    <t>EMP008UK</t>
  </si>
  <si>
    <t>Joshi</t>
  </si>
  <si>
    <t>EMP009AU</t>
  </si>
  <si>
    <t>Nair</t>
  </si>
  <si>
    <t>EMP010CA</t>
  </si>
  <si>
    <t>Iyer</t>
  </si>
  <si>
    <t>EMP011IN</t>
  </si>
  <si>
    <t>Rao</t>
  </si>
  <si>
    <t>EMP012US</t>
  </si>
  <si>
    <t>Shah</t>
  </si>
  <si>
    <t>EMP013UK</t>
  </si>
  <si>
    <t>Yadav</t>
  </si>
  <si>
    <t>EMP014AU</t>
  </si>
  <si>
    <t>Kapoor</t>
  </si>
  <si>
    <t>EMP015CA</t>
  </si>
  <si>
    <t>Pillai</t>
  </si>
  <si>
    <t>EMP016IN</t>
  </si>
  <si>
    <t>Roy</t>
  </si>
  <si>
    <t>EMP017US</t>
  </si>
  <si>
    <t>Choudhary</t>
  </si>
  <si>
    <t>EMP018UK</t>
  </si>
  <si>
    <t>Mishra</t>
  </si>
  <si>
    <t>EMP019AU</t>
  </si>
  <si>
    <t>Agarwal</t>
  </si>
  <si>
    <t>EMP020CA</t>
  </si>
  <si>
    <t>FULL NAME</t>
  </si>
  <si>
    <t xml:space="preserve">LEFT </t>
  </si>
  <si>
    <t>EXTRACTING SPECIFIC PART OF FIRST NAME</t>
  </si>
  <si>
    <t>RGHT</t>
  </si>
  <si>
    <t>MID</t>
  </si>
  <si>
    <t>CHANGING FORMAT OF DATES</t>
  </si>
  <si>
    <t>FORMATING NUMBER TO CURRENCY</t>
  </si>
  <si>
    <t>EXTRACING LAST NAME USING FIND AND 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</si>
</sst>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4D4D4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workbookViewId="0">
      <selection activeCell="G23" sqref="G23"/>
    </sheetView>
  </sheetViews>
  <sheetFormatPr defaultColWidth="14.44140625" defaultRowHeight="14.4" x14ac:dyDescent="0.3"/>
  <cols>
    <col min="1" max="1" width="4.77734375" bestFit="1" customWidth="1"/>
    <col min="2" max="2" width="96" bestFit="1" customWidth="1"/>
    <col min="3" max="3" width="8.6640625" customWidth="1"/>
    <col min="4" max="4" width="3" bestFit="1" customWidth="1"/>
    <col min="5" max="5" width="13.21875" bestFit="1" customWidth="1"/>
    <col min="6" max="6" width="5.6640625" bestFit="1" customWidth="1"/>
    <col min="7" max="7" width="10.33203125" bestFit="1" customWidth="1"/>
    <col min="8" max="8" width="5.21875" bestFit="1" customWidth="1"/>
    <col min="9" max="9" width="7.88671875" bestFit="1" customWidth="1"/>
    <col min="10" max="10" width="6.21875" bestFit="1" customWidth="1"/>
    <col min="11" max="11" width="5.77734375" bestFit="1" customWidth="1"/>
    <col min="12" max="12" width="9.33203125" bestFit="1" customWidth="1"/>
    <col min="13" max="13" width="11.21875" bestFit="1" customWidth="1"/>
    <col min="14" max="26" width="8.6640625" customWidth="1"/>
  </cols>
  <sheetData>
    <row r="1" spans="1:26" x14ac:dyDescent="0.3">
      <c r="A1" s="1" t="s">
        <v>0</v>
      </c>
      <c r="B1" s="1" t="s">
        <v>1</v>
      </c>
      <c r="C1" s="2"/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3</v>
      </c>
      <c r="C2" s="2"/>
      <c r="D2" s="6">
        <v>1</v>
      </c>
      <c r="E2" s="6" t="s">
        <v>33</v>
      </c>
      <c r="F2" s="6">
        <v>45</v>
      </c>
      <c r="G2" s="7">
        <v>45292</v>
      </c>
      <c r="H2" s="6">
        <v>1500</v>
      </c>
      <c r="I2" s="6">
        <v>300</v>
      </c>
      <c r="J2" s="2" t="str">
        <f>IF(F2&gt;50,"pass","Fail")</f>
        <v>Fail</v>
      </c>
      <c r="K2" s="2" t="str">
        <f>IF(F2&gt;90,"A",IF(F2&gt;90,"B",IF(F2&gt;70,"C",IF(F2&gt;60,"D","E"))))</f>
        <v>E</v>
      </c>
      <c r="L2" s="2" t="str">
        <f>IF(WEEKDAY(G2)=1,"WEEKEND",IF(WEEKDAY(G2)=7,"WEEKEND","WEEKDAY"))</f>
        <v>WEEKDAY</v>
      </c>
      <c r="M2" s="2" t="str">
        <f>IF(H2&gt;5000,"5%",IF(H2&gt;2000,"3%","1%"))</f>
        <v>1%</v>
      </c>
      <c r="N2" s="2" t="str">
        <f>IF(H2&gt;3000,"HIGH",IF(H2&gt;2000,"MEDIUM","LOW"))</f>
        <v>LOW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5</v>
      </c>
      <c r="C3" s="2"/>
      <c r="D3" s="6">
        <v>2</v>
      </c>
      <c r="E3" s="6" t="s">
        <v>34</v>
      </c>
      <c r="F3" s="6">
        <v>78</v>
      </c>
      <c r="G3" s="7">
        <v>45293</v>
      </c>
      <c r="H3" s="6">
        <v>2500</v>
      </c>
      <c r="I3" s="6">
        <v>600</v>
      </c>
      <c r="J3" s="2" t="str">
        <f t="shared" ref="J3:J21" si="0">IF(F3&gt;50,"pass","Fail")</f>
        <v>pass</v>
      </c>
      <c r="K3" s="2" t="str">
        <f t="shared" ref="K3:K21" si="1">IF(F3&gt;90,"A",IF(F3&gt;90,"B",IF(F3&gt;70,"C",IF(F3&gt;60,"D","E"))))</f>
        <v>C</v>
      </c>
      <c r="L3" s="2" t="str">
        <f t="shared" ref="L3:L21" si="2">IF(WEEKDAY(G3)=1,"WEEKEND",IF(WEEKDAY(G3)=7,"WEEKEND","WEEKDAY"))</f>
        <v>WEEKDAY</v>
      </c>
      <c r="M3" s="2" t="str">
        <f t="shared" ref="M3:M21" si="3">IF(H3&gt;5000,"5%",IF(H3&gt;2000,"3%","1%"))</f>
        <v>3%</v>
      </c>
      <c r="N3" s="2" t="str">
        <f t="shared" ref="N3:N21" si="4">IF(H3&gt;3000,"HIGH",IF(H3&gt;2000,"MEDIUM","LOW"))</f>
        <v>MEDIUM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7</v>
      </c>
      <c r="C4" s="2"/>
      <c r="D4" s="6">
        <v>3</v>
      </c>
      <c r="E4" s="6" t="s">
        <v>35</v>
      </c>
      <c r="F4" s="6">
        <v>92</v>
      </c>
      <c r="G4" s="7">
        <v>45294</v>
      </c>
      <c r="H4" s="6">
        <v>6000</v>
      </c>
      <c r="I4" s="6">
        <v>1200</v>
      </c>
      <c r="J4" s="2" t="str">
        <f t="shared" si="0"/>
        <v>pass</v>
      </c>
      <c r="K4" s="2" t="str">
        <f t="shared" si="1"/>
        <v>A</v>
      </c>
      <c r="L4" s="2" t="str">
        <f t="shared" si="2"/>
        <v>WEEKDAY</v>
      </c>
      <c r="M4" s="2" t="str">
        <f t="shared" si="3"/>
        <v>5%</v>
      </c>
      <c r="N4" s="2" t="str">
        <f t="shared" si="4"/>
        <v>HIGH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9</v>
      </c>
      <c r="C5" s="2"/>
      <c r="D5" s="6">
        <v>4</v>
      </c>
      <c r="E5" s="6" t="s">
        <v>36</v>
      </c>
      <c r="F5" s="6">
        <v>67</v>
      </c>
      <c r="G5" s="7">
        <v>45297</v>
      </c>
      <c r="H5" s="6">
        <v>4500</v>
      </c>
      <c r="I5" s="6">
        <v>800</v>
      </c>
      <c r="J5" s="2" t="str">
        <f t="shared" si="0"/>
        <v>pass</v>
      </c>
      <c r="K5" s="2" t="str">
        <f t="shared" si="1"/>
        <v>D</v>
      </c>
      <c r="L5" s="2" t="str">
        <f t="shared" si="2"/>
        <v>WEEKEND</v>
      </c>
      <c r="M5" s="2" t="str">
        <f t="shared" si="3"/>
        <v>3%</v>
      </c>
      <c r="N5" s="2" t="str">
        <f t="shared" si="4"/>
        <v>HIGH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 t="s">
        <v>10</v>
      </c>
      <c r="B6" s="4" t="s">
        <v>11</v>
      </c>
      <c r="C6" s="2"/>
      <c r="D6" s="6">
        <v>5</v>
      </c>
      <c r="E6" s="6" t="s">
        <v>37</v>
      </c>
      <c r="F6" s="6">
        <v>88</v>
      </c>
      <c r="G6" s="7">
        <v>45298</v>
      </c>
      <c r="H6" s="6">
        <v>5200</v>
      </c>
      <c r="I6" s="6">
        <v>1500</v>
      </c>
      <c r="J6" s="2" t="str">
        <f t="shared" si="0"/>
        <v>pass</v>
      </c>
      <c r="K6" s="2" t="str">
        <f t="shared" si="1"/>
        <v>C</v>
      </c>
      <c r="L6" s="2" t="str">
        <f t="shared" si="2"/>
        <v>WEEKEND</v>
      </c>
      <c r="M6" s="2" t="str">
        <f t="shared" si="3"/>
        <v>5%</v>
      </c>
      <c r="N6" s="2" t="str">
        <f t="shared" si="4"/>
        <v>HIGH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6">
        <v>6</v>
      </c>
      <c r="E7" s="6" t="s">
        <v>38</v>
      </c>
      <c r="F7" s="6">
        <v>55</v>
      </c>
      <c r="G7" s="7">
        <v>45299</v>
      </c>
      <c r="H7" s="6">
        <v>1800</v>
      </c>
      <c r="I7" s="6">
        <v>400</v>
      </c>
      <c r="J7" s="2" t="str">
        <f t="shared" si="0"/>
        <v>pass</v>
      </c>
      <c r="K7" s="2" t="str">
        <f t="shared" si="1"/>
        <v>E</v>
      </c>
      <c r="L7" s="2" t="str">
        <f t="shared" si="2"/>
        <v>WEEKDAY</v>
      </c>
      <c r="M7" s="2" t="str">
        <f t="shared" si="3"/>
        <v>1%</v>
      </c>
      <c r="N7" s="2" t="str">
        <f t="shared" si="4"/>
        <v>LOW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6">
        <v>7</v>
      </c>
      <c r="E8" s="6" t="s">
        <v>39</v>
      </c>
      <c r="F8" s="6">
        <v>73</v>
      </c>
      <c r="G8" s="7">
        <v>45300</v>
      </c>
      <c r="H8" s="6">
        <v>3000</v>
      </c>
      <c r="I8" s="6">
        <v>700</v>
      </c>
      <c r="J8" s="2" t="str">
        <f t="shared" si="0"/>
        <v>pass</v>
      </c>
      <c r="K8" s="2" t="str">
        <f t="shared" si="1"/>
        <v>C</v>
      </c>
      <c r="L8" s="2" t="str">
        <f t="shared" si="2"/>
        <v>WEEKDAY</v>
      </c>
      <c r="M8" s="2" t="str">
        <f t="shared" si="3"/>
        <v>3%</v>
      </c>
      <c r="N8" s="2" t="str">
        <f t="shared" si="4"/>
        <v>MEDIUM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6">
        <v>8</v>
      </c>
      <c r="E9" s="6" t="s">
        <v>40</v>
      </c>
      <c r="F9" s="6">
        <v>95</v>
      </c>
      <c r="G9" s="7">
        <v>45301</v>
      </c>
      <c r="H9" s="6">
        <v>7000</v>
      </c>
      <c r="I9" s="6">
        <v>2000</v>
      </c>
      <c r="J9" s="2" t="str">
        <f t="shared" si="0"/>
        <v>pass</v>
      </c>
      <c r="K9" s="2" t="str">
        <f t="shared" si="1"/>
        <v>A</v>
      </c>
      <c r="L9" s="2" t="str">
        <f t="shared" si="2"/>
        <v>WEEKDAY</v>
      </c>
      <c r="M9" s="2" t="str">
        <f t="shared" si="3"/>
        <v>5%</v>
      </c>
      <c r="N9" s="2" t="str">
        <f t="shared" si="4"/>
        <v>HIGH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6">
        <v>9</v>
      </c>
      <c r="E10" s="6" t="s">
        <v>41</v>
      </c>
      <c r="F10" s="6">
        <v>60</v>
      </c>
      <c r="G10" s="7">
        <v>45304</v>
      </c>
      <c r="H10" s="6">
        <v>2200</v>
      </c>
      <c r="I10" s="6">
        <v>900</v>
      </c>
      <c r="J10" s="2" t="str">
        <f t="shared" si="0"/>
        <v>pass</v>
      </c>
      <c r="K10" s="2" t="str">
        <f t="shared" si="1"/>
        <v>E</v>
      </c>
      <c r="L10" s="2" t="str">
        <f t="shared" si="2"/>
        <v>WEEKEND</v>
      </c>
      <c r="M10" s="2" t="str">
        <f t="shared" si="3"/>
        <v>3%</v>
      </c>
      <c r="N10" s="2" t="str">
        <f t="shared" si="4"/>
        <v>MEDIUM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6">
        <v>10</v>
      </c>
      <c r="E11" s="6" t="s">
        <v>42</v>
      </c>
      <c r="F11" s="6">
        <v>82</v>
      </c>
      <c r="G11" s="7">
        <v>45305</v>
      </c>
      <c r="H11" s="6">
        <v>5100</v>
      </c>
      <c r="I11" s="6">
        <v>1100</v>
      </c>
      <c r="J11" s="2" t="str">
        <f t="shared" si="0"/>
        <v>pass</v>
      </c>
      <c r="K11" s="2" t="str">
        <f t="shared" si="1"/>
        <v>C</v>
      </c>
      <c r="L11" s="2" t="str">
        <f t="shared" si="2"/>
        <v>WEEKEND</v>
      </c>
      <c r="M11" s="2" t="str">
        <f t="shared" si="3"/>
        <v>5%</v>
      </c>
      <c r="N11" s="2" t="str">
        <f t="shared" si="4"/>
        <v>HIGH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6">
        <v>11</v>
      </c>
      <c r="E12" s="6" t="s">
        <v>43</v>
      </c>
      <c r="F12" s="6">
        <v>49</v>
      </c>
      <c r="G12" s="7">
        <v>45306</v>
      </c>
      <c r="H12" s="6">
        <v>1000</v>
      </c>
      <c r="I12" s="6">
        <v>200</v>
      </c>
      <c r="J12" s="2" t="str">
        <f t="shared" si="0"/>
        <v>Fail</v>
      </c>
      <c r="K12" s="2" t="str">
        <f t="shared" si="1"/>
        <v>E</v>
      </c>
      <c r="L12" s="2" t="str">
        <f t="shared" si="2"/>
        <v>WEEKDAY</v>
      </c>
      <c r="M12" s="2" t="str">
        <f t="shared" si="3"/>
        <v>1%</v>
      </c>
      <c r="N12" s="2" t="str">
        <f t="shared" si="4"/>
        <v>LOW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6">
        <v>12</v>
      </c>
      <c r="E13" s="6" t="s">
        <v>44</v>
      </c>
      <c r="F13" s="6">
        <v>77</v>
      </c>
      <c r="G13" s="7">
        <v>45307</v>
      </c>
      <c r="H13" s="6">
        <v>2700</v>
      </c>
      <c r="I13" s="6">
        <v>650</v>
      </c>
      <c r="J13" s="2" t="str">
        <f t="shared" si="0"/>
        <v>pass</v>
      </c>
      <c r="K13" s="2" t="str">
        <f t="shared" si="1"/>
        <v>C</v>
      </c>
      <c r="L13" s="2" t="str">
        <f t="shared" si="2"/>
        <v>WEEKDAY</v>
      </c>
      <c r="M13" s="2" t="str">
        <f t="shared" si="3"/>
        <v>3%</v>
      </c>
      <c r="N13" s="2" t="str">
        <f t="shared" si="4"/>
        <v>MEDIUM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6">
        <v>13</v>
      </c>
      <c r="E14" s="6" t="s">
        <v>45</v>
      </c>
      <c r="F14" s="6">
        <v>91</v>
      </c>
      <c r="G14" s="7">
        <v>45308</v>
      </c>
      <c r="H14" s="6">
        <v>8000</v>
      </c>
      <c r="I14" s="6">
        <v>1800</v>
      </c>
      <c r="J14" s="2" t="str">
        <f t="shared" si="0"/>
        <v>pass</v>
      </c>
      <c r="K14" s="2" t="str">
        <f t="shared" si="1"/>
        <v>A</v>
      </c>
      <c r="L14" s="2" t="str">
        <f t="shared" si="2"/>
        <v>WEEKDAY</v>
      </c>
      <c r="M14" s="2" t="str">
        <f t="shared" si="3"/>
        <v>5%</v>
      </c>
      <c r="N14" s="2" t="str">
        <f t="shared" si="4"/>
        <v>HIGH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6">
        <v>14</v>
      </c>
      <c r="E15" s="6" t="s">
        <v>46</v>
      </c>
      <c r="F15" s="6">
        <v>68</v>
      </c>
      <c r="G15" s="7">
        <v>45311</v>
      </c>
      <c r="H15" s="6">
        <v>3500</v>
      </c>
      <c r="I15" s="6">
        <v>750</v>
      </c>
      <c r="J15" s="2" t="str">
        <f t="shared" si="0"/>
        <v>pass</v>
      </c>
      <c r="K15" s="2" t="str">
        <f t="shared" si="1"/>
        <v>D</v>
      </c>
      <c r="L15" s="2" t="str">
        <f t="shared" si="2"/>
        <v>WEEKEND</v>
      </c>
      <c r="M15" s="2" t="str">
        <f t="shared" si="3"/>
        <v>3%</v>
      </c>
      <c r="N15" s="2" t="str">
        <f t="shared" si="4"/>
        <v>HIGH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6">
        <v>15</v>
      </c>
      <c r="E16" s="6" t="s">
        <v>47</v>
      </c>
      <c r="F16" s="6">
        <v>85</v>
      </c>
      <c r="G16" s="7">
        <v>45312</v>
      </c>
      <c r="H16" s="6">
        <v>5500</v>
      </c>
      <c r="I16" s="6">
        <v>1300</v>
      </c>
      <c r="J16" s="2" t="str">
        <f t="shared" si="0"/>
        <v>pass</v>
      </c>
      <c r="K16" s="2" t="str">
        <f t="shared" si="1"/>
        <v>C</v>
      </c>
      <c r="L16" s="2" t="str">
        <f t="shared" si="2"/>
        <v>WEEKEND</v>
      </c>
      <c r="M16" s="2" t="str">
        <f t="shared" si="3"/>
        <v>5%</v>
      </c>
      <c r="N16" s="2" t="str">
        <f t="shared" si="4"/>
        <v>HIGH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6">
        <v>16</v>
      </c>
      <c r="E17" s="6" t="s">
        <v>48</v>
      </c>
      <c r="F17" s="6">
        <v>58</v>
      </c>
      <c r="G17" s="7">
        <v>45313</v>
      </c>
      <c r="H17" s="6">
        <v>1900</v>
      </c>
      <c r="I17" s="6">
        <v>450</v>
      </c>
      <c r="J17" s="2" t="str">
        <f t="shared" si="0"/>
        <v>pass</v>
      </c>
      <c r="K17" s="2" t="str">
        <f t="shared" si="1"/>
        <v>E</v>
      </c>
      <c r="L17" s="2" t="str">
        <f t="shared" si="2"/>
        <v>WEEKDAY</v>
      </c>
      <c r="M17" s="2" t="str">
        <f t="shared" si="3"/>
        <v>1%</v>
      </c>
      <c r="N17" s="2" t="str">
        <f t="shared" si="4"/>
        <v>LOW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6">
        <v>17</v>
      </c>
      <c r="E18" s="6" t="s">
        <v>49</v>
      </c>
      <c r="F18" s="6">
        <v>72</v>
      </c>
      <c r="G18" s="7">
        <v>45314</v>
      </c>
      <c r="H18" s="6">
        <v>2600</v>
      </c>
      <c r="I18" s="6">
        <v>600</v>
      </c>
      <c r="J18" s="2" t="str">
        <f t="shared" si="0"/>
        <v>pass</v>
      </c>
      <c r="K18" s="2" t="str">
        <f t="shared" si="1"/>
        <v>C</v>
      </c>
      <c r="L18" s="2" t="str">
        <f t="shared" si="2"/>
        <v>WEEKDAY</v>
      </c>
      <c r="M18" s="2" t="str">
        <f t="shared" si="3"/>
        <v>3%</v>
      </c>
      <c r="N18" s="2" t="str">
        <f t="shared" si="4"/>
        <v>MEDIUM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6">
        <v>18</v>
      </c>
      <c r="E19" s="6" t="s">
        <v>50</v>
      </c>
      <c r="F19" s="6">
        <v>97</v>
      </c>
      <c r="G19" s="7">
        <v>45315</v>
      </c>
      <c r="H19" s="6">
        <v>9000</v>
      </c>
      <c r="I19" s="6">
        <v>2200</v>
      </c>
      <c r="J19" s="2" t="str">
        <f t="shared" si="0"/>
        <v>pass</v>
      </c>
      <c r="K19" s="2" t="str">
        <f t="shared" si="1"/>
        <v>A</v>
      </c>
      <c r="L19" s="2" t="str">
        <f t="shared" si="2"/>
        <v>WEEKDAY</v>
      </c>
      <c r="M19" s="2" t="str">
        <f t="shared" si="3"/>
        <v>5%</v>
      </c>
      <c r="N19" s="2" t="str">
        <f t="shared" si="4"/>
        <v>HIGH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6">
        <v>19</v>
      </c>
      <c r="E20" s="6" t="s">
        <v>51</v>
      </c>
      <c r="F20" s="6">
        <v>64</v>
      </c>
      <c r="G20" s="7">
        <v>45318</v>
      </c>
      <c r="H20" s="6">
        <v>4000</v>
      </c>
      <c r="I20" s="6">
        <v>950</v>
      </c>
      <c r="J20" s="2" t="str">
        <f t="shared" si="0"/>
        <v>pass</v>
      </c>
      <c r="K20" s="2" t="str">
        <f t="shared" si="1"/>
        <v>D</v>
      </c>
      <c r="L20" s="2" t="str">
        <f t="shared" si="2"/>
        <v>WEEKEND</v>
      </c>
      <c r="M20" s="2" t="str">
        <f t="shared" si="3"/>
        <v>3%</v>
      </c>
      <c r="N20" s="2" t="str">
        <f t="shared" si="4"/>
        <v>HIGH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6">
        <v>20</v>
      </c>
      <c r="E21" s="6" t="s">
        <v>52</v>
      </c>
      <c r="F21" s="6">
        <v>80</v>
      </c>
      <c r="G21" s="7">
        <v>45319</v>
      </c>
      <c r="H21" s="6">
        <v>5200</v>
      </c>
      <c r="I21" s="6">
        <v>1050</v>
      </c>
      <c r="J21" s="2" t="str">
        <f t="shared" si="0"/>
        <v>pass</v>
      </c>
      <c r="K21" s="2" t="str">
        <f t="shared" si="1"/>
        <v>C</v>
      </c>
      <c r="L21" s="2" t="str">
        <f t="shared" si="2"/>
        <v>WEEKEND</v>
      </c>
      <c r="M21" s="2" t="str">
        <f t="shared" si="3"/>
        <v>5%</v>
      </c>
      <c r="N21" s="2" t="str">
        <f t="shared" si="4"/>
        <v>HIGH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topLeftCell="C1" workbookViewId="0">
      <selection activeCell="B17" sqref="B17"/>
    </sheetView>
  </sheetViews>
  <sheetFormatPr defaultColWidth="14.44140625" defaultRowHeight="14.4" x14ac:dyDescent="0.3"/>
  <cols>
    <col min="1" max="1" width="4.77734375" bestFit="1" customWidth="1"/>
    <col min="2" max="2" width="110" bestFit="1" customWidth="1"/>
    <col min="3" max="3" width="8.6640625" customWidth="1"/>
    <col min="4" max="4" width="3" bestFit="1" customWidth="1"/>
    <col min="5" max="5" width="7.109375" bestFit="1" customWidth="1"/>
    <col min="6" max="6" width="5.5546875" bestFit="1" customWidth="1"/>
    <col min="7" max="7" width="7.33203125" bestFit="1" customWidth="1"/>
    <col min="8" max="8" width="10.44140625" bestFit="1" customWidth="1"/>
    <col min="9" max="9" width="11.6640625" bestFit="1" customWidth="1"/>
    <col min="10" max="10" width="6" bestFit="1" customWidth="1"/>
    <col min="11" max="11" width="16.44140625" bestFit="1" customWidth="1"/>
    <col min="12" max="12" width="5.6640625" bestFit="1" customWidth="1"/>
    <col min="13" max="13" width="11.5546875" bestFit="1" customWidth="1"/>
    <col min="14" max="14" width="6.88671875" bestFit="1" customWidth="1"/>
    <col min="15" max="15" width="17.33203125" bestFit="1" customWidth="1"/>
    <col min="16" max="17" width="16.44140625" bestFit="1" customWidth="1"/>
    <col min="18" max="18" width="12.44140625" bestFit="1" customWidth="1"/>
    <col min="19" max="19" width="20" bestFit="1" customWidth="1"/>
    <col min="20" max="25" width="8.6640625" customWidth="1"/>
  </cols>
  <sheetData>
    <row r="1" spans="1:19" x14ac:dyDescent="0.3">
      <c r="A1" s="1" t="s">
        <v>0</v>
      </c>
      <c r="B1" s="1" t="s">
        <v>1</v>
      </c>
      <c r="D1" s="5" t="s">
        <v>27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31</v>
      </c>
      <c r="K1" s="5" t="s">
        <v>63</v>
      </c>
      <c r="L1" s="5" t="s">
        <v>64</v>
      </c>
      <c r="M1" s="5" t="s">
        <v>53</v>
      </c>
      <c r="N1" s="5" t="s">
        <v>65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</row>
    <row r="2" spans="1:19" x14ac:dyDescent="0.3">
      <c r="A2" s="3">
        <v>1</v>
      </c>
      <c r="B2" s="4" t="s">
        <v>12</v>
      </c>
      <c r="D2" s="6">
        <v>1</v>
      </c>
      <c r="E2" s="6" t="s">
        <v>33</v>
      </c>
      <c r="F2" s="6">
        <v>85</v>
      </c>
      <c r="G2" s="6">
        <v>90</v>
      </c>
      <c r="H2" s="6">
        <v>120</v>
      </c>
      <c r="I2" s="6" t="s">
        <v>66</v>
      </c>
      <c r="J2" s="6">
        <v>15000</v>
      </c>
      <c r="K2" s="6">
        <v>6</v>
      </c>
      <c r="L2" s="6">
        <v>10</v>
      </c>
      <c r="M2" s="6" t="s">
        <v>67</v>
      </c>
      <c r="N2" s="6" t="s">
        <v>68</v>
      </c>
      <c r="O2" t="str">
        <f>IF(AND(F2&gt;80,G2&gt;80),"Excellent","needs improvement")</f>
        <v>Excellent</v>
      </c>
      <c r="P2" t="str">
        <f>IF(OR(I2="Gold",H2&gt;100),"FREE SHIPPING","NO FREE SHIPPING")</f>
        <v>FREE SHIPPING</v>
      </c>
      <c r="Q2" t="str">
        <f>IF(AND(J2&gt;10000,K2&gt;5),"ELIGILBLE","NOT ELIGIBLE")</f>
        <v>ELIGILBLE</v>
      </c>
      <c r="R2" t="str">
        <f>IF(OR(L2=0,M2="Discontinued"),"Out Of Stock","Available")</f>
        <v>Available</v>
      </c>
      <c r="S2" t="str">
        <f>IF(AND(K2&gt;3,N2="Yes"),"Qualified","Not qualified")</f>
        <v>Qualified</v>
      </c>
    </row>
    <row r="3" spans="1:19" x14ac:dyDescent="0.3">
      <c r="A3" s="3">
        <v>2</v>
      </c>
      <c r="B3" s="4" t="s">
        <v>13</v>
      </c>
      <c r="D3" s="6">
        <v>2</v>
      </c>
      <c r="E3" s="6" t="s">
        <v>34</v>
      </c>
      <c r="F3" s="6">
        <v>75</v>
      </c>
      <c r="G3" s="6">
        <v>82</v>
      </c>
      <c r="H3" s="6">
        <v>80</v>
      </c>
      <c r="I3" s="6" t="s">
        <v>69</v>
      </c>
      <c r="J3" s="6">
        <v>9000</v>
      </c>
      <c r="K3" s="6">
        <v>4</v>
      </c>
      <c r="L3" s="6">
        <v>0</v>
      </c>
      <c r="M3" s="6" t="s">
        <v>67</v>
      </c>
      <c r="N3" s="6" t="s">
        <v>70</v>
      </c>
      <c r="O3" t="str">
        <f t="shared" ref="O3:O21" si="0">IF(AND(F3&gt;80,G3&gt;80),"Excellent","needs improvement")</f>
        <v>needs improvement</v>
      </c>
      <c r="P3" t="str">
        <f t="shared" ref="P3:P21" si="1">IF(OR(I3="Gold",H3&gt;100),"FREE SHIPPING","NO FREE SHIPPING")</f>
        <v>NO FREE SHIPPING</v>
      </c>
      <c r="Q3" t="str">
        <f t="shared" ref="Q3:Q21" si="2">IF(AND(J3&gt;10000,K3&gt;5),"ELIGILBLE","NOT ELIGIBLE")</f>
        <v>NOT ELIGIBLE</v>
      </c>
      <c r="R3" t="str">
        <f t="shared" ref="R3:R21" si="3">IF(OR(L3=0,M3="Discontinued"),"Out Of Stock","Available")</f>
        <v>Out Of Stock</v>
      </c>
      <c r="S3" t="str">
        <f t="shared" ref="S3:S21" si="4">IF(AND(K3&gt;3,N3="Yes"),"Qualified","Not qualified")</f>
        <v>Not qualified</v>
      </c>
    </row>
    <row r="4" spans="1:19" x14ac:dyDescent="0.3">
      <c r="A4" s="3">
        <v>3</v>
      </c>
      <c r="B4" s="4" t="s">
        <v>14</v>
      </c>
      <c r="D4" s="6">
        <v>3</v>
      </c>
      <c r="E4" s="6" t="s">
        <v>35</v>
      </c>
      <c r="F4" s="6">
        <v>92</v>
      </c>
      <c r="G4" s="6">
        <v>88</v>
      </c>
      <c r="H4" s="6">
        <v>200</v>
      </c>
      <c r="I4" s="6" t="s">
        <v>66</v>
      </c>
      <c r="J4" s="6">
        <v>20000</v>
      </c>
      <c r="K4" s="6">
        <v>7</v>
      </c>
      <c r="L4" s="6">
        <v>5</v>
      </c>
      <c r="M4" s="6" t="s">
        <v>67</v>
      </c>
      <c r="N4" s="6" t="s">
        <v>68</v>
      </c>
      <c r="O4" t="str">
        <f t="shared" si="0"/>
        <v>Excellent</v>
      </c>
      <c r="P4" t="str">
        <f t="shared" si="1"/>
        <v>FREE SHIPPING</v>
      </c>
      <c r="Q4" t="str">
        <f t="shared" si="2"/>
        <v>ELIGILBLE</v>
      </c>
      <c r="R4" t="str">
        <f t="shared" si="3"/>
        <v>Available</v>
      </c>
      <c r="S4" t="str">
        <f t="shared" si="4"/>
        <v>Qualified</v>
      </c>
    </row>
    <row r="5" spans="1:19" x14ac:dyDescent="0.3">
      <c r="A5" s="3">
        <v>4</v>
      </c>
      <c r="B5" s="4" t="s">
        <v>15</v>
      </c>
      <c r="D5" s="6">
        <v>4</v>
      </c>
      <c r="E5" s="6" t="s">
        <v>36</v>
      </c>
      <c r="F5" s="6">
        <v>60</v>
      </c>
      <c r="G5" s="6">
        <v>70</v>
      </c>
      <c r="H5" s="6">
        <v>50</v>
      </c>
      <c r="I5" s="6" t="s">
        <v>71</v>
      </c>
      <c r="J5" s="6">
        <v>5000</v>
      </c>
      <c r="K5" s="6">
        <v>2</v>
      </c>
      <c r="L5" s="6">
        <v>0</v>
      </c>
      <c r="M5" s="6" t="s">
        <v>72</v>
      </c>
      <c r="N5" s="6" t="s">
        <v>70</v>
      </c>
      <c r="O5" t="str">
        <f t="shared" si="0"/>
        <v>needs improvement</v>
      </c>
      <c r="P5" t="str">
        <f t="shared" si="1"/>
        <v>NO FREE SHIPPING</v>
      </c>
      <c r="Q5" t="str">
        <f t="shared" si="2"/>
        <v>NOT ELIGIBLE</v>
      </c>
      <c r="R5" t="str">
        <f t="shared" si="3"/>
        <v>Out Of Stock</v>
      </c>
      <c r="S5" t="str">
        <f t="shared" si="4"/>
        <v>Not qualified</v>
      </c>
    </row>
    <row r="6" spans="1:19" x14ac:dyDescent="0.3">
      <c r="A6" s="3">
        <v>5</v>
      </c>
      <c r="B6" s="4" t="s">
        <v>16</v>
      </c>
      <c r="D6" s="6">
        <v>5</v>
      </c>
      <c r="E6" s="6" t="s">
        <v>37</v>
      </c>
      <c r="F6" s="6">
        <v>88</v>
      </c>
      <c r="G6" s="6">
        <v>91</v>
      </c>
      <c r="H6" s="6">
        <v>150</v>
      </c>
      <c r="I6" s="6" t="s">
        <v>69</v>
      </c>
      <c r="J6" s="6">
        <v>12000</v>
      </c>
      <c r="K6" s="6">
        <v>6</v>
      </c>
      <c r="L6" s="6">
        <v>20</v>
      </c>
      <c r="M6" s="6" t="s">
        <v>67</v>
      </c>
      <c r="N6" s="6" t="s">
        <v>68</v>
      </c>
      <c r="O6" t="str">
        <f t="shared" si="0"/>
        <v>Excellent</v>
      </c>
      <c r="P6" t="str">
        <f t="shared" si="1"/>
        <v>FREE SHIPPING</v>
      </c>
      <c r="Q6" t="str">
        <f t="shared" si="2"/>
        <v>ELIGILBLE</v>
      </c>
      <c r="R6" t="str">
        <f t="shared" si="3"/>
        <v>Available</v>
      </c>
      <c r="S6" t="str">
        <f t="shared" si="4"/>
        <v>Qualified</v>
      </c>
    </row>
    <row r="7" spans="1:19" x14ac:dyDescent="0.3">
      <c r="D7" s="6">
        <v>6</v>
      </c>
      <c r="E7" s="6" t="s">
        <v>38</v>
      </c>
      <c r="F7" s="6">
        <v>55</v>
      </c>
      <c r="G7" s="6">
        <v>65</v>
      </c>
      <c r="H7" s="6">
        <v>90</v>
      </c>
      <c r="I7" s="6" t="s">
        <v>66</v>
      </c>
      <c r="J7" s="6">
        <v>8000</v>
      </c>
      <c r="K7" s="6">
        <v>3</v>
      </c>
      <c r="L7" s="6">
        <v>0</v>
      </c>
      <c r="M7" s="6" t="s">
        <v>67</v>
      </c>
      <c r="N7" s="6" t="s">
        <v>70</v>
      </c>
      <c r="O7" t="str">
        <f t="shared" si="0"/>
        <v>needs improvement</v>
      </c>
      <c r="P7" t="str">
        <f t="shared" si="1"/>
        <v>FREE SHIPPING</v>
      </c>
      <c r="Q7" t="str">
        <f t="shared" si="2"/>
        <v>NOT ELIGIBLE</v>
      </c>
      <c r="R7" t="str">
        <f t="shared" si="3"/>
        <v>Out Of Stock</v>
      </c>
      <c r="S7" t="str">
        <f t="shared" si="4"/>
        <v>Not qualified</v>
      </c>
    </row>
    <row r="8" spans="1:19" x14ac:dyDescent="0.3">
      <c r="D8" s="6">
        <v>7</v>
      </c>
      <c r="E8" s="6" t="s">
        <v>39</v>
      </c>
      <c r="F8" s="6">
        <v>78</v>
      </c>
      <c r="G8" s="6">
        <v>85</v>
      </c>
      <c r="H8" s="6">
        <v>110</v>
      </c>
      <c r="I8" s="6" t="s">
        <v>71</v>
      </c>
      <c r="J8" s="6">
        <v>11000</v>
      </c>
      <c r="K8" s="6">
        <v>5</v>
      </c>
      <c r="L8" s="6">
        <v>15</v>
      </c>
      <c r="M8" s="6" t="s">
        <v>67</v>
      </c>
      <c r="N8" s="6" t="s">
        <v>68</v>
      </c>
      <c r="O8" t="str">
        <f t="shared" si="0"/>
        <v>needs improvement</v>
      </c>
      <c r="P8" t="str">
        <f t="shared" si="1"/>
        <v>FREE SHIPPING</v>
      </c>
      <c r="Q8" t="str">
        <f t="shared" si="2"/>
        <v>NOT ELIGIBLE</v>
      </c>
      <c r="R8" t="str">
        <f t="shared" si="3"/>
        <v>Available</v>
      </c>
      <c r="S8" t="str">
        <f t="shared" si="4"/>
        <v>Qualified</v>
      </c>
    </row>
    <row r="9" spans="1:19" x14ac:dyDescent="0.3">
      <c r="D9" s="6">
        <v>8</v>
      </c>
      <c r="E9" s="6" t="s">
        <v>40</v>
      </c>
      <c r="F9" s="6">
        <v>95</v>
      </c>
      <c r="G9" s="6">
        <v>96</v>
      </c>
      <c r="H9" s="6">
        <v>300</v>
      </c>
      <c r="I9" s="6" t="s">
        <v>66</v>
      </c>
      <c r="J9" s="6">
        <v>25000</v>
      </c>
      <c r="K9" s="6">
        <v>10</v>
      </c>
      <c r="L9" s="6">
        <v>8</v>
      </c>
      <c r="M9" s="6" t="s">
        <v>67</v>
      </c>
      <c r="N9" s="6" t="s">
        <v>68</v>
      </c>
      <c r="O9" t="str">
        <f t="shared" si="0"/>
        <v>Excellent</v>
      </c>
      <c r="P9" t="str">
        <f t="shared" si="1"/>
        <v>FREE SHIPPING</v>
      </c>
      <c r="Q9" t="str">
        <f t="shared" si="2"/>
        <v>ELIGILBLE</v>
      </c>
      <c r="R9" t="str">
        <f t="shared" si="3"/>
        <v>Available</v>
      </c>
      <c r="S9" t="str">
        <f t="shared" si="4"/>
        <v>Qualified</v>
      </c>
    </row>
    <row r="10" spans="1:19" x14ac:dyDescent="0.3">
      <c r="D10" s="6">
        <v>9</v>
      </c>
      <c r="E10" s="6" t="s">
        <v>41</v>
      </c>
      <c r="F10" s="6">
        <v>70</v>
      </c>
      <c r="G10" s="6">
        <v>75</v>
      </c>
      <c r="H10" s="6">
        <v>70</v>
      </c>
      <c r="I10" s="6" t="s">
        <v>69</v>
      </c>
      <c r="J10" s="6">
        <v>7000</v>
      </c>
      <c r="K10" s="6">
        <v>4</v>
      </c>
      <c r="L10" s="6">
        <v>0</v>
      </c>
      <c r="M10" s="6" t="s">
        <v>72</v>
      </c>
      <c r="N10" s="6" t="s">
        <v>70</v>
      </c>
      <c r="O10" t="str">
        <f t="shared" si="0"/>
        <v>needs improvement</v>
      </c>
      <c r="P10" t="str">
        <f t="shared" si="1"/>
        <v>NO FREE SHIPPING</v>
      </c>
      <c r="Q10" t="str">
        <f t="shared" si="2"/>
        <v>NOT ELIGIBLE</v>
      </c>
      <c r="R10" t="str">
        <f t="shared" si="3"/>
        <v>Out Of Stock</v>
      </c>
      <c r="S10" t="str">
        <f t="shared" si="4"/>
        <v>Not qualified</v>
      </c>
    </row>
    <row r="11" spans="1:19" x14ac:dyDescent="0.3">
      <c r="D11" s="6">
        <v>10</v>
      </c>
      <c r="E11" s="6" t="s">
        <v>42</v>
      </c>
      <c r="F11" s="6">
        <v>82</v>
      </c>
      <c r="G11" s="6">
        <v>84</v>
      </c>
      <c r="H11" s="6">
        <v>130</v>
      </c>
      <c r="I11" s="6" t="s">
        <v>66</v>
      </c>
      <c r="J11" s="6">
        <v>13000</v>
      </c>
      <c r="K11" s="6">
        <v>6</v>
      </c>
      <c r="L11" s="6">
        <v>25</v>
      </c>
      <c r="M11" s="6" t="s">
        <v>67</v>
      </c>
      <c r="N11" s="6" t="s">
        <v>68</v>
      </c>
      <c r="O11" t="str">
        <f t="shared" si="0"/>
        <v>Excellent</v>
      </c>
      <c r="P11" t="str">
        <f t="shared" si="1"/>
        <v>FREE SHIPPING</v>
      </c>
      <c r="Q11" t="str">
        <f t="shared" si="2"/>
        <v>ELIGILBLE</v>
      </c>
      <c r="R11" t="str">
        <f t="shared" si="3"/>
        <v>Available</v>
      </c>
      <c r="S11" t="str">
        <f t="shared" si="4"/>
        <v>Qualified</v>
      </c>
    </row>
    <row r="12" spans="1:19" x14ac:dyDescent="0.3">
      <c r="D12" s="6">
        <v>11</v>
      </c>
      <c r="E12" s="6" t="s">
        <v>43</v>
      </c>
      <c r="F12" s="6">
        <v>65</v>
      </c>
      <c r="G12" s="6">
        <v>60</v>
      </c>
      <c r="H12" s="6">
        <v>40</v>
      </c>
      <c r="I12" s="6" t="s">
        <v>71</v>
      </c>
      <c r="J12" s="6">
        <v>4000</v>
      </c>
      <c r="K12" s="6">
        <v>1</v>
      </c>
      <c r="L12" s="6">
        <v>12</v>
      </c>
      <c r="M12" s="6" t="s">
        <v>67</v>
      </c>
      <c r="N12" s="6" t="s">
        <v>70</v>
      </c>
      <c r="O12" t="str">
        <f t="shared" si="0"/>
        <v>needs improvement</v>
      </c>
      <c r="P12" t="str">
        <f t="shared" si="1"/>
        <v>NO FREE SHIPPING</v>
      </c>
      <c r="Q12" t="str">
        <f t="shared" si="2"/>
        <v>NOT ELIGIBLE</v>
      </c>
      <c r="R12" t="str">
        <f t="shared" si="3"/>
        <v>Available</v>
      </c>
      <c r="S12" t="str">
        <f t="shared" si="4"/>
        <v>Not qualified</v>
      </c>
    </row>
    <row r="13" spans="1:19" x14ac:dyDescent="0.3">
      <c r="D13" s="6">
        <v>12</v>
      </c>
      <c r="E13" s="6" t="s">
        <v>44</v>
      </c>
      <c r="F13" s="6">
        <v>90</v>
      </c>
      <c r="G13" s="6">
        <v>92</v>
      </c>
      <c r="H13" s="6">
        <v>180</v>
      </c>
      <c r="I13" s="6" t="s">
        <v>69</v>
      </c>
      <c r="J13" s="6">
        <v>17000</v>
      </c>
      <c r="K13" s="6">
        <v>8</v>
      </c>
      <c r="L13" s="6">
        <v>0</v>
      </c>
      <c r="M13" s="6" t="s">
        <v>67</v>
      </c>
      <c r="N13" s="6" t="s">
        <v>68</v>
      </c>
      <c r="O13" t="str">
        <f t="shared" si="0"/>
        <v>Excellent</v>
      </c>
      <c r="P13" t="str">
        <f t="shared" si="1"/>
        <v>FREE SHIPPING</v>
      </c>
      <c r="Q13" t="str">
        <f t="shared" si="2"/>
        <v>ELIGILBLE</v>
      </c>
      <c r="R13" t="str">
        <f t="shared" si="3"/>
        <v>Out Of Stock</v>
      </c>
      <c r="S13" t="str">
        <f t="shared" si="4"/>
        <v>Qualified</v>
      </c>
    </row>
    <row r="14" spans="1:19" x14ac:dyDescent="0.3">
      <c r="D14" s="6">
        <v>13</v>
      </c>
      <c r="E14" s="6" t="s">
        <v>45</v>
      </c>
      <c r="F14" s="6">
        <v>85</v>
      </c>
      <c r="G14" s="6">
        <v>78</v>
      </c>
      <c r="H14" s="6">
        <v>95</v>
      </c>
      <c r="I14" s="6" t="s">
        <v>66</v>
      </c>
      <c r="J14" s="6">
        <v>9500</v>
      </c>
      <c r="K14" s="6">
        <v>3</v>
      </c>
      <c r="L14" s="6">
        <v>6</v>
      </c>
      <c r="M14" s="6" t="s">
        <v>67</v>
      </c>
      <c r="N14" s="6" t="s">
        <v>68</v>
      </c>
      <c r="O14" t="str">
        <f t="shared" si="0"/>
        <v>needs improvement</v>
      </c>
      <c r="P14" t="str">
        <f t="shared" si="1"/>
        <v>FREE SHIPPING</v>
      </c>
      <c r="Q14" t="str">
        <f t="shared" si="2"/>
        <v>NOT ELIGIBLE</v>
      </c>
      <c r="R14" t="str">
        <f t="shared" si="3"/>
        <v>Available</v>
      </c>
      <c r="S14" t="str">
        <f t="shared" si="4"/>
        <v>Not qualified</v>
      </c>
    </row>
    <row r="15" spans="1:19" x14ac:dyDescent="0.3">
      <c r="D15" s="6">
        <v>14</v>
      </c>
      <c r="E15" s="6" t="s">
        <v>46</v>
      </c>
      <c r="F15" s="6">
        <v>88</v>
      </c>
      <c r="G15" s="6">
        <v>89</v>
      </c>
      <c r="H15" s="6">
        <v>210</v>
      </c>
      <c r="I15" s="6" t="s">
        <v>66</v>
      </c>
      <c r="J15" s="6">
        <v>21000</v>
      </c>
      <c r="K15" s="6">
        <v>9</v>
      </c>
      <c r="L15" s="6">
        <v>0</v>
      </c>
      <c r="M15" s="6" t="s">
        <v>72</v>
      </c>
      <c r="N15" s="6" t="s">
        <v>68</v>
      </c>
      <c r="O15" t="str">
        <f t="shared" si="0"/>
        <v>Excellent</v>
      </c>
      <c r="P15" t="str">
        <f t="shared" si="1"/>
        <v>FREE SHIPPING</v>
      </c>
      <c r="Q15" t="str">
        <f t="shared" si="2"/>
        <v>ELIGILBLE</v>
      </c>
      <c r="R15" t="str">
        <f t="shared" si="3"/>
        <v>Out Of Stock</v>
      </c>
      <c r="S15" t="str">
        <f t="shared" si="4"/>
        <v>Qualified</v>
      </c>
    </row>
    <row r="16" spans="1:19" x14ac:dyDescent="0.3">
      <c r="D16" s="6">
        <v>15</v>
      </c>
      <c r="E16" s="6" t="s">
        <v>47</v>
      </c>
      <c r="F16" s="6">
        <v>72</v>
      </c>
      <c r="G16" s="6">
        <v>80</v>
      </c>
      <c r="H16" s="6">
        <v>85</v>
      </c>
      <c r="I16" s="6" t="s">
        <v>71</v>
      </c>
      <c r="J16" s="6">
        <v>8500</v>
      </c>
      <c r="K16" s="6">
        <v>4</v>
      </c>
      <c r="L16" s="6">
        <v>30</v>
      </c>
      <c r="M16" s="6" t="s">
        <v>67</v>
      </c>
      <c r="N16" s="6" t="s">
        <v>70</v>
      </c>
      <c r="O16" t="str">
        <f t="shared" si="0"/>
        <v>needs improvement</v>
      </c>
      <c r="P16" t="str">
        <f t="shared" si="1"/>
        <v>NO FREE SHIPPING</v>
      </c>
      <c r="Q16" t="str">
        <f t="shared" si="2"/>
        <v>NOT ELIGIBLE</v>
      </c>
      <c r="R16" t="str">
        <f t="shared" si="3"/>
        <v>Available</v>
      </c>
      <c r="S16" t="str">
        <f t="shared" si="4"/>
        <v>Not qualified</v>
      </c>
    </row>
    <row r="17" spans="4:19" x14ac:dyDescent="0.3">
      <c r="D17" s="6">
        <v>16</v>
      </c>
      <c r="E17" s="6" t="s">
        <v>48</v>
      </c>
      <c r="F17" s="6">
        <v>91</v>
      </c>
      <c r="G17" s="6">
        <v>94</v>
      </c>
      <c r="H17" s="6">
        <v>250</v>
      </c>
      <c r="I17" s="6" t="s">
        <v>66</v>
      </c>
      <c r="J17" s="6">
        <v>30000</v>
      </c>
      <c r="K17" s="6">
        <v>12</v>
      </c>
      <c r="L17" s="6">
        <v>18</v>
      </c>
      <c r="M17" s="6" t="s">
        <v>67</v>
      </c>
      <c r="N17" s="6" t="s">
        <v>68</v>
      </c>
      <c r="O17" t="str">
        <f t="shared" si="0"/>
        <v>Excellent</v>
      </c>
      <c r="P17" t="str">
        <f t="shared" si="1"/>
        <v>FREE SHIPPING</v>
      </c>
      <c r="Q17" t="str">
        <f t="shared" si="2"/>
        <v>ELIGILBLE</v>
      </c>
      <c r="R17" t="str">
        <f t="shared" si="3"/>
        <v>Available</v>
      </c>
      <c r="S17" t="str">
        <f t="shared" si="4"/>
        <v>Qualified</v>
      </c>
    </row>
    <row r="18" spans="4:19" x14ac:dyDescent="0.3">
      <c r="D18" s="6">
        <v>17</v>
      </c>
      <c r="E18" s="6" t="s">
        <v>49</v>
      </c>
      <c r="F18" s="6">
        <v>68</v>
      </c>
      <c r="G18" s="6">
        <v>74</v>
      </c>
      <c r="H18" s="6">
        <v>60</v>
      </c>
      <c r="I18" s="6" t="s">
        <v>69</v>
      </c>
      <c r="J18" s="6">
        <v>6000</v>
      </c>
      <c r="K18" s="6">
        <v>2</v>
      </c>
      <c r="L18" s="6">
        <v>0</v>
      </c>
      <c r="M18" s="6" t="s">
        <v>67</v>
      </c>
      <c r="N18" s="6" t="s">
        <v>70</v>
      </c>
      <c r="O18" t="str">
        <f t="shared" si="0"/>
        <v>needs improvement</v>
      </c>
      <c r="P18" t="str">
        <f t="shared" si="1"/>
        <v>NO FREE SHIPPING</v>
      </c>
      <c r="Q18" t="str">
        <f t="shared" si="2"/>
        <v>NOT ELIGIBLE</v>
      </c>
      <c r="R18" t="str">
        <f t="shared" si="3"/>
        <v>Out Of Stock</v>
      </c>
      <c r="S18" t="str">
        <f t="shared" si="4"/>
        <v>Not qualified</v>
      </c>
    </row>
    <row r="19" spans="4:19" x14ac:dyDescent="0.3">
      <c r="D19" s="6">
        <v>18</v>
      </c>
      <c r="E19" s="6" t="s">
        <v>50</v>
      </c>
      <c r="F19" s="6">
        <v>83</v>
      </c>
      <c r="G19" s="6">
        <v>86</v>
      </c>
      <c r="H19" s="6">
        <v>140</v>
      </c>
      <c r="I19" s="6" t="s">
        <v>66</v>
      </c>
      <c r="J19" s="6">
        <v>14000</v>
      </c>
      <c r="K19" s="6">
        <v>7</v>
      </c>
      <c r="L19" s="6">
        <v>9</v>
      </c>
      <c r="M19" s="6" t="s">
        <v>67</v>
      </c>
      <c r="N19" s="6" t="s">
        <v>68</v>
      </c>
      <c r="O19" t="str">
        <f t="shared" si="0"/>
        <v>Excellent</v>
      </c>
      <c r="P19" t="str">
        <f t="shared" si="1"/>
        <v>FREE SHIPPING</v>
      </c>
      <c r="Q19" t="str">
        <f t="shared" si="2"/>
        <v>ELIGILBLE</v>
      </c>
      <c r="R19" t="str">
        <f t="shared" si="3"/>
        <v>Available</v>
      </c>
      <c r="S19" t="str">
        <f t="shared" si="4"/>
        <v>Qualified</v>
      </c>
    </row>
    <row r="20" spans="4:19" x14ac:dyDescent="0.3">
      <c r="D20" s="6">
        <v>19</v>
      </c>
      <c r="E20" s="6" t="s">
        <v>51</v>
      </c>
      <c r="F20" s="6">
        <v>77</v>
      </c>
      <c r="G20" s="6">
        <v>79</v>
      </c>
      <c r="H20" s="6">
        <v>105</v>
      </c>
      <c r="I20" s="6" t="s">
        <v>71</v>
      </c>
      <c r="J20" s="6">
        <v>10500</v>
      </c>
      <c r="K20" s="6">
        <v>5</v>
      </c>
      <c r="L20" s="6">
        <v>0</v>
      </c>
      <c r="M20" s="6" t="s">
        <v>72</v>
      </c>
      <c r="N20" s="6" t="s">
        <v>70</v>
      </c>
      <c r="O20" t="str">
        <f t="shared" si="0"/>
        <v>needs improvement</v>
      </c>
      <c r="P20" t="str">
        <f t="shared" si="1"/>
        <v>FREE SHIPPING</v>
      </c>
      <c r="Q20" t="str">
        <f t="shared" si="2"/>
        <v>NOT ELIGIBLE</v>
      </c>
      <c r="R20" t="str">
        <f t="shared" si="3"/>
        <v>Out Of Stock</v>
      </c>
      <c r="S20" t="str">
        <f t="shared" si="4"/>
        <v>Not qualified</v>
      </c>
    </row>
    <row r="21" spans="4:19" x14ac:dyDescent="0.3">
      <c r="D21" s="6">
        <v>20</v>
      </c>
      <c r="E21" s="6" t="s">
        <v>52</v>
      </c>
      <c r="F21" s="6">
        <v>89</v>
      </c>
      <c r="G21" s="6">
        <v>90</v>
      </c>
      <c r="H21" s="6">
        <v>160</v>
      </c>
      <c r="I21" s="6" t="s">
        <v>66</v>
      </c>
      <c r="J21" s="6">
        <v>16000</v>
      </c>
      <c r="K21" s="6">
        <v>6</v>
      </c>
      <c r="L21" s="6">
        <v>11</v>
      </c>
      <c r="M21" s="6" t="s">
        <v>67</v>
      </c>
      <c r="N21" s="6" t="s">
        <v>68</v>
      </c>
      <c r="O21" t="str">
        <f t="shared" si="0"/>
        <v>Excellent</v>
      </c>
      <c r="P21" t="str">
        <f t="shared" si="1"/>
        <v>FREE SHIPPING</v>
      </c>
      <c r="Q21" t="str">
        <f t="shared" si="2"/>
        <v>ELIGILBLE</v>
      </c>
      <c r="R21" t="str">
        <f t="shared" si="3"/>
        <v>Available</v>
      </c>
      <c r="S21" t="str">
        <f t="shared" si="4"/>
        <v>Qualified</v>
      </c>
    </row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>
      <selection activeCell="C10" sqref="C10"/>
    </sheetView>
  </sheetViews>
  <sheetFormatPr defaultColWidth="14.44140625" defaultRowHeight="14.4" x14ac:dyDescent="0.3"/>
  <cols>
    <col min="1" max="1" width="4.77734375" bestFit="1" customWidth="1"/>
    <col min="2" max="2" width="98.44140625" bestFit="1" customWidth="1"/>
    <col min="3" max="3" width="6" bestFit="1" customWidth="1"/>
    <col min="6" max="6" width="3" bestFit="1" customWidth="1"/>
    <col min="7" max="7" width="7.109375" bestFit="1" customWidth="1"/>
    <col min="8" max="8" width="5.5546875" bestFit="1" customWidth="1"/>
    <col min="9" max="9" width="7.33203125" bestFit="1" customWidth="1"/>
    <col min="10" max="10" width="6.77734375" bestFit="1" customWidth="1"/>
    <col min="11" max="11" width="9.88671875" bestFit="1" customWidth="1"/>
    <col min="12" max="12" width="5.21875" bestFit="1" customWidth="1"/>
    <col min="13" max="13" width="11.109375" bestFit="1" customWidth="1"/>
    <col min="14" max="14" width="10.109375" bestFit="1" customWidth="1"/>
    <col min="15" max="15" width="6.109375" bestFit="1" customWidth="1"/>
    <col min="16" max="16" width="8.109375" bestFit="1" customWidth="1"/>
    <col min="17" max="17" width="9.88671875" bestFit="1" customWidth="1"/>
    <col min="18" max="18" width="8.33203125" bestFit="1" customWidth="1"/>
    <col min="22" max="26" width="8.6640625" customWidth="1"/>
  </cols>
  <sheetData>
    <row r="1" spans="1:18" x14ac:dyDescent="0.3">
      <c r="A1" s="1" t="s">
        <v>0</v>
      </c>
      <c r="B1" s="1" t="s">
        <v>1</v>
      </c>
      <c r="F1" s="5" t="s">
        <v>27</v>
      </c>
      <c r="G1" s="5" t="s">
        <v>58</v>
      </c>
      <c r="H1" s="5" t="s">
        <v>59</v>
      </c>
      <c r="I1" s="5" t="s">
        <v>60</v>
      </c>
      <c r="J1" s="5" t="s">
        <v>78</v>
      </c>
      <c r="K1" s="5" t="s">
        <v>79</v>
      </c>
      <c r="L1" s="5" t="s">
        <v>31</v>
      </c>
      <c r="M1" s="5" t="s">
        <v>80</v>
      </c>
      <c r="N1" s="5" t="s">
        <v>81</v>
      </c>
      <c r="O1" s="5" t="s">
        <v>82</v>
      </c>
      <c r="P1" s="5" t="s">
        <v>83</v>
      </c>
      <c r="Q1" s="5" t="s">
        <v>53</v>
      </c>
      <c r="R1" s="5" t="s">
        <v>84</v>
      </c>
    </row>
    <row r="2" spans="1:18" x14ac:dyDescent="0.3">
      <c r="A2" s="3">
        <v>1</v>
      </c>
      <c r="B2" s="4" t="s">
        <v>17</v>
      </c>
      <c r="F2" s="6">
        <v>1</v>
      </c>
      <c r="G2" s="6" t="s">
        <v>33</v>
      </c>
      <c r="H2" s="6">
        <v>85</v>
      </c>
      <c r="I2" s="6">
        <v>90</v>
      </c>
      <c r="J2" s="6" t="s">
        <v>85</v>
      </c>
      <c r="K2" s="6" t="s">
        <v>86</v>
      </c>
      <c r="L2" s="6">
        <v>600</v>
      </c>
      <c r="M2" s="6" t="s">
        <v>87</v>
      </c>
      <c r="N2" s="6">
        <v>6</v>
      </c>
      <c r="O2" s="6">
        <v>40000</v>
      </c>
      <c r="P2" s="6" t="s">
        <v>88</v>
      </c>
      <c r="Q2" s="6" t="s">
        <v>89</v>
      </c>
      <c r="R2" s="6">
        <v>700</v>
      </c>
    </row>
    <row r="3" spans="1:18" x14ac:dyDescent="0.3">
      <c r="A3" s="3">
        <v>2</v>
      </c>
      <c r="B3" s="4" t="s">
        <v>18</v>
      </c>
      <c r="F3" s="6">
        <v>2</v>
      </c>
      <c r="G3" s="6" t="s">
        <v>34</v>
      </c>
      <c r="H3" s="6">
        <v>75</v>
      </c>
      <c r="I3" s="6">
        <v>82</v>
      </c>
      <c r="J3" s="6" t="s">
        <v>90</v>
      </c>
      <c r="K3" s="6" t="s">
        <v>91</v>
      </c>
      <c r="L3" s="6">
        <v>300</v>
      </c>
      <c r="M3" s="6" t="s">
        <v>92</v>
      </c>
      <c r="N3" s="6">
        <v>4</v>
      </c>
      <c r="O3" s="6">
        <v>30000</v>
      </c>
      <c r="P3" s="6" t="s">
        <v>93</v>
      </c>
      <c r="Q3" s="6" t="s">
        <v>94</v>
      </c>
      <c r="R3" s="6">
        <v>350</v>
      </c>
    </row>
    <row r="4" spans="1:18" x14ac:dyDescent="0.3">
      <c r="A4" s="3">
        <v>3</v>
      </c>
      <c r="B4" s="4" t="s">
        <v>19</v>
      </c>
      <c r="F4" s="6">
        <v>3</v>
      </c>
      <c r="G4" s="6" t="s">
        <v>35</v>
      </c>
      <c r="H4" s="6">
        <v>92</v>
      </c>
      <c r="I4" s="6">
        <v>88</v>
      </c>
      <c r="J4" s="6" t="s">
        <v>95</v>
      </c>
      <c r="K4" s="6" t="s">
        <v>86</v>
      </c>
      <c r="L4" s="6">
        <v>800</v>
      </c>
      <c r="M4" s="6" t="s">
        <v>87</v>
      </c>
      <c r="N4" s="6">
        <v>7</v>
      </c>
      <c r="O4" s="6">
        <v>50000</v>
      </c>
      <c r="P4" s="6" t="s">
        <v>88</v>
      </c>
      <c r="Q4" s="6" t="s">
        <v>89</v>
      </c>
      <c r="R4" s="6">
        <v>900</v>
      </c>
    </row>
    <row r="5" spans="1:18" x14ac:dyDescent="0.3">
      <c r="A5" s="3">
        <v>4</v>
      </c>
      <c r="B5" s="4" t="s">
        <v>20</v>
      </c>
      <c r="F5" s="6">
        <v>4</v>
      </c>
      <c r="G5" s="6" t="s">
        <v>36</v>
      </c>
      <c r="H5" s="6">
        <v>60</v>
      </c>
      <c r="I5" s="6">
        <v>70</v>
      </c>
      <c r="J5" s="6" t="s">
        <v>96</v>
      </c>
      <c r="K5" s="6" t="s">
        <v>97</v>
      </c>
      <c r="L5" s="6">
        <v>200</v>
      </c>
      <c r="M5" s="6" t="s">
        <v>31</v>
      </c>
      <c r="N5" s="6">
        <v>2</v>
      </c>
      <c r="O5" s="6">
        <v>25000</v>
      </c>
      <c r="P5" s="6" t="s">
        <v>98</v>
      </c>
      <c r="Q5" s="6" t="s">
        <v>89</v>
      </c>
      <c r="R5" s="6">
        <v>250</v>
      </c>
    </row>
    <row r="6" spans="1:18" x14ac:dyDescent="0.3">
      <c r="A6" s="3">
        <v>5</v>
      </c>
      <c r="B6" s="4" t="s">
        <v>21</v>
      </c>
      <c r="F6" s="6">
        <v>5</v>
      </c>
      <c r="G6" s="6" t="s">
        <v>37</v>
      </c>
      <c r="H6" s="6">
        <v>88</v>
      </c>
      <c r="I6" s="6">
        <v>91</v>
      </c>
      <c r="J6" s="6" t="s">
        <v>85</v>
      </c>
      <c r="K6" s="6" t="s">
        <v>86</v>
      </c>
      <c r="L6" s="6">
        <v>1000</v>
      </c>
      <c r="M6" s="6" t="s">
        <v>87</v>
      </c>
      <c r="N6" s="6">
        <v>6</v>
      </c>
      <c r="O6" s="6">
        <v>55000</v>
      </c>
      <c r="P6" s="6" t="s">
        <v>88</v>
      </c>
      <c r="Q6" s="6" t="s">
        <v>89</v>
      </c>
      <c r="R6" s="6">
        <v>1200</v>
      </c>
    </row>
    <row r="7" spans="1:18" x14ac:dyDescent="0.3">
      <c r="F7" s="6">
        <v>6</v>
      </c>
      <c r="G7" s="6" t="s">
        <v>38</v>
      </c>
      <c r="H7" s="6">
        <v>55</v>
      </c>
      <c r="I7" s="6">
        <v>65</v>
      </c>
      <c r="J7" s="6" t="s">
        <v>90</v>
      </c>
      <c r="K7" s="6" t="s">
        <v>91</v>
      </c>
      <c r="L7" s="6">
        <v>150</v>
      </c>
      <c r="M7" s="6" t="s">
        <v>92</v>
      </c>
      <c r="N7" s="6">
        <v>3</v>
      </c>
      <c r="O7" s="6">
        <v>28000</v>
      </c>
      <c r="P7" s="6" t="s">
        <v>99</v>
      </c>
      <c r="Q7" s="6" t="s">
        <v>94</v>
      </c>
      <c r="R7" s="6">
        <v>200</v>
      </c>
    </row>
    <row r="8" spans="1:18" x14ac:dyDescent="0.3">
      <c r="B8" s="8" t="s">
        <v>100</v>
      </c>
      <c r="C8" s="9">
        <f>SUMIFS(L2:L21,J2:J21,"=West",K2:K21,"=Electronics")</f>
        <v>6350</v>
      </c>
      <c r="F8" s="6">
        <v>7</v>
      </c>
      <c r="G8" s="6" t="s">
        <v>39</v>
      </c>
      <c r="H8" s="6">
        <v>78</v>
      </c>
      <c r="I8" s="6">
        <v>85</v>
      </c>
      <c r="J8" s="6" t="s">
        <v>95</v>
      </c>
      <c r="K8" s="6" t="s">
        <v>86</v>
      </c>
      <c r="L8" s="6">
        <v>700</v>
      </c>
      <c r="M8" s="6" t="s">
        <v>87</v>
      </c>
      <c r="N8" s="6">
        <v>5</v>
      </c>
      <c r="O8" s="6">
        <v>42000</v>
      </c>
      <c r="P8" s="6" t="s">
        <v>88</v>
      </c>
      <c r="Q8" s="6" t="s">
        <v>89</v>
      </c>
      <c r="R8" s="6">
        <v>800</v>
      </c>
    </row>
    <row r="9" spans="1:18" x14ac:dyDescent="0.3">
      <c r="B9" s="8" t="s">
        <v>101</v>
      </c>
      <c r="C9" s="9">
        <f>AVERAGEIFS(O2:O21,M2:M21,"IT",N2:N21,"&gt;5")</f>
        <v>57300</v>
      </c>
      <c r="F9" s="6">
        <v>8</v>
      </c>
      <c r="G9" s="6" t="s">
        <v>40</v>
      </c>
      <c r="H9" s="6">
        <v>95</v>
      </c>
      <c r="I9" s="6">
        <v>96</v>
      </c>
      <c r="J9" s="6" t="s">
        <v>85</v>
      </c>
      <c r="K9" s="6" t="s">
        <v>86</v>
      </c>
      <c r="L9" s="6">
        <v>1200</v>
      </c>
      <c r="M9" s="6" t="s">
        <v>87</v>
      </c>
      <c r="N9" s="6">
        <v>10</v>
      </c>
      <c r="O9" s="6">
        <v>70000</v>
      </c>
      <c r="P9" s="6" t="s">
        <v>88</v>
      </c>
      <c r="Q9" s="6" t="s">
        <v>89</v>
      </c>
      <c r="R9" s="6">
        <v>1500</v>
      </c>
    </row>
    <row r="10" spans="1:18" x14ac:dyDescent="0.3">
      <c r="B10" s="8" t="s">
        <v>102</v>
      </c>
      <c r="C10" s="9">
        <f>COUNTIFS(H2:H21,"&gt;80",I2:I21,"&gt;80")</f>
        <v>10</v>
      </c>
      <c r="F10" s="6">
        <v>9</v>
      </c>
      <c r="G10" s="6" t="s">
        <v>41</v>
      </c>
      <c r="H10" s="6">
        <v>70</v>
      </c>
      <c r="I10" s="6">
        <v>75</v>
      </c>
      <c r="J10" s="6" t="s">
        <v>96</v>
      </c>
      <c r="K10" s="6" t="s">
        <v>97</v>
      </c>
      <c r="L10" s="6">
        <v>400</v>
      </c>
      <c r="M10" s="6" t="s">
        <v>31</v>
      </c>
      <c r="N10" s="6">
        <v>4</v>
      </c>
      <c r="O10" s="6">
        <v>30000</v>
      </c>
      <c r="P10" s="6" t="s">
        <v>93</v>
      </c>
      <c r="Q10" s="6" t="s">
        <v>89</v>
      </c>
      <c r="R10" s="6">
        <v>450</v>
      </c>
    </row>
    <row r="11" spans="1:18" x14ac:dyDescent="0.3">
      <c r="B11" s="8" t="s">
        <v>103</v>
      </c>
      <c r="C11" s="9">
        <f>COUNTIFS(P2:P21,"=January",Q2:Q21,"=Completed")</f>
        <v>10</v>
      </c>
      <c r="F11" s="6">
        <v>10</v>
      </c>
      <c r="G11" s="6" t="s">
        <v>42</v>
      </c>
      <c r="H11" s="6">
        <v>82</v>
      </c>
      <c r="I11" s="6">
        <v>84</v>
      </c>
      <c r="J11" s="6" t="s">
        <v>90</v>
      </c>
      <c r="K11" s="6" t="s">
        <v>86</v>
      </c>
      <c r="L11" s="6">
        <v>650</v>
      </c>
      <c r="M11" s="6" t="s">
        <v>87</v>
      </c>
      <c r="N11" s="6">
        <v>6</v>
      </c>
      <c r="O11" s="6">
        <v>48000</v>
      </c>
      <c r="P11" s="6" t="s">
        <v>88</v>
      </c>
      <c r="Q11" s="6" t="s">
        <v>94</v>
      </c>
      <c r="R11" s="6">
        <v>700</v>
      </c>
    </row>
    <row r="12" spans="1:18" x14ac:dyDescent="0.3">
      <c r="B12" s="8" t="s">
        <v>104</v>
      </c>
      <c r="C12" s="9">
        <f>SUMIFS(R2:R21,L2:L21,"&gt;500",K2:K21,"=Electronics")</f>
        <v>11850</v>
      </c>
      <c r="F12" s="6">
        <v>11</v>
      </c>
      <c r="G12" s="6" t="s">
        <v>43</v>
      </c>
      <c r="H12" s="6">
        <v>65</v>
      </c>
      <c r="I12" s="6">
        <v>60</v>
      </c>
      <c r="J12" s="6" t="s">
        <v>95</v>
      </c>
      <c r="K12" s="6" t="s">
        <v>91</v>
      </c>
      <c r="L12" s="6">
        <v>250</v>
      </c>
      <c r="M12" s="6" t="s">
        <v>92</v>
      </c>
      <c r="N12" s="6">
        <v>1</v>
      </c>
      <c r="O12" s="6">
        <v>20000</v>
      </c>
      <c r="P12" s="6" t="s">
        <v>98</v>
      </c>
      <c r="Q12" s="6" t="s">
        <v>89</v>
      </c>
      <c r="R12" s="6">
        <v>300</v>
      </c>
    </row>
    <row r="13" spans="1:18" x14ac:dyDescent="0.3">
      <c r="F13" s="6">
        <v>12</v>
      </c>
      <c r="G13" s="6" t="s">
        <v>44</v>
      </c>
      <c r="H13" s="6">
        <v>90</v>
      </c>
      <c r="I13" s="6">
        <v>92</v>
      </c>
      <c r="J13" s="6" t="s">
        <v>85</v>
      </c>
      <c r="K13" s="6" t="s">
        <v>86</v>
      </c>
      <c r="L13" s="6">
        <v>1100</v>
      </c>
      <c r="M13" s="6" t="s">
        <v>87</v>
      </c>
      <c r="N13" s="6">
        <v>8</v>
      </c>
      <c r="O13" s="6">
        <v>60000</v>
      </c>
      <c r="P13" s="6" t="s">
        <v>88</v>
      </c>
      <c r="Q13" s="6" t="s">
        <v>89</v>
      </c>
      <c r="R13" s="6">
        <v>1300</v>
      </c>
    </row>
    <row r="14" spans="1:18" x14ac:dyDescent="0.3">
      <c r="F14" s="6">
        <v>13</v>
      </c>
      <c r="G14" s="6" t="s">
        <v>45</v>
      </c>
      <c r="H14" s="6">
        <v>85</v>
      </c>
      <c r="I14" s="6">
        <v>78</v>
      </c>
      <c r="J14" s="6" t="s">
        <v>96</v>
      </c>
      <c r="K14" s="6" t="s">
        <v>97</v>
      </c>
      <c r="L14" s="6">
        <v>350</v>
      </c>
      <c r="M14" s="6" t="s">
        <v>31</v>
      </c>
      <c r="N14" s="6">
        <v>3</v>
      </c>
      <c r="O14" s="6">
        <v>27000</v>
      </c>
      <c r="P14" s="6" t="s">
        <v>99</v>
      </c>
      <c r="Q14" s="6" t="s">
        <v>94</v>
      </c>
      <c r="R14" s="6">
        <v>400</v>
      </c>
    </row>
    <row r="15" spans="1:18" x14ac:dyDescent="0.3">
      <c r="F15" s="6">
        <v>14</v>
      </c>
      <c r="G15" s="6" t="s">
        <v>46</v>
      </c>
      <c r="H15" s="6">
        <v>88</v>
      </c>
      <c r="I15" s="6">
        <v>89</v>
      </c>
      <c r="J15" s="6" t="s">
        <v>95</v>
      </c>
      <c r="K15" s="6" t="s">
        <v>86</v>
      </c>
      <c r="L15" s="6">
        <v>900</v>
      </c>
      <c r="M15" s="6" t="s">
        <v>87</v>
      </c>
      <c r="N15" s="6">
        <v>9</v>
      </c>
      <c r="O15" s="6">
        <v>65000</v>
      </c>
      <c r="P15" s="6" t="s">
        <v>88</v>
      </c>
      <c r="Q15" s="6" t="s">
        <v>89</v>
      </c>
      <c r="R15" s="6">
        <v>1000</v>
      </c>
    </row>
    <row r="16" spans="1:18" x14ac:dyDescent="0.3">
      <c r="F16" s="6">
        <v>15</v>
      </c>
      <c r="G16" s="6" t="s">
        <v>47</v>
      </c>
      <c r="H16" s="6">
        <v>72</v>
      </c>
      <c r="I16" s="6">
        <v>80</v>
      </c>
      <c r="J16" s="6" t="s">
        <v>90</v>
      </c>
      <c r="K16" s="6" t="s">
        <v>91</v>
      </c>
      <c r="L16" s="6">
        <v>500</v>
      </c>
      <c r="M16" s="6" t="s">
        <v>92</v>
      </c>
      <c r="N16" s="6">
        <v>4</v>
      </c>
      <c r="O16" s="6">
        <v>32000</v>
      </c>
      <c r="P16" s="6" t="s">
        <v>93</v>
      </c>
      <c r="Q16" s="6" t="s">
        <v>89</v>
      </c>
      <c r="R16" s="6">
        <v>550</v>
      </c>
    </row>
    <row r="17" spans="6:18" x14ac:dyDescent="0.3">
      <c r="F17" s="6">
        <v>16</v>
      </c>
      <c r="G17" s="6" t="s">
        <v>48</v>
      </c>
      <c r="H17" s="6">
        <v>91</v>
      </c>
      <c r="I17" s="6">
        <v>94</v>
      </c>
      <c r="J17" s="6" t="s">
        <v>85</v>
      </c>
      <c r="K17" s="6" t="s">
        <v>86</v>
      </c>
      <c r="L17" s="6">
        <v>1500</v>
      </c>
      <c r="M17" s="6" t="s">
        <v>87</v>
      </c>
      <c r="N17" s="6">
        <v>12</v>
      </c>
      <c r="O17" s="6">
        <v>75000</v>
      </c>
      <c r="P17" s="6" t="s">
        <v>88</v>
      </c>
      <c r="Q17" s="6" t="s">
        <v>89</v>
      </c>
      <c r="R17" s="6">
        <v>1800</v>
      </c>
    </row>
    <row r="18" spans="6:18" x14ac:dyDescent="0.3">
      <c r="F18" s="6">
        <v>17</v>
      </c>
      <c r="G18" s="6" t="s">
        <v>49</v>
      </c>
      <c r="H18" s="6">
        <v>68</v>
      </c>
      <c r="I18" s="6">
        <v>74</v>
      </c>
      <c r="J18" s="6" t="s">
        <v>96</v>
      </c>
      <c r="K18" s="6" t="s">
        <v>97</v>
      </c>
      <c r="L18" s="6">
        <v>300</v>
      </c>
      <c r="M18" s="6" t="s">
        <v>31</v>
      </c>
      <c r="N18" s="6">
        <v>2</v>
      </c>
      <c r="O18" s="6">
        <v>26000</v>
      </c>
      <c r="P18" s="6" t="s">
        <v>98</v>
      </c>
      <c r="Q18" s="6" t="s">
        <v>94</v>
      </c>
      <c r="R18" s="6">
        <v>350</v>
      </c>
    </row>
    <row r="19" spans="6:18" x14ac:dyDescent="0.3">
      <c r="F19" s="6">
        <v>18</v>
      </c>
      <c r="G19" s="6" t="s">
        <v>50</v>
      </c>
      <c r="H19" s="6">
        <v>83</v>
      </c>
      <c r="I19" s="6">
        <v>86</v>
      </c>
      <c r="J19" s="6" t="s">
        <v>95</v>
      </c>
      <c r="K19" s="6" t="s">
        <v>86</v>
      </c>
      <c r="L19" s="6">
        <v>750</v>
      </c>
      <c r="M19" s="6" t="s">
        <v>87</v>
      </c>
      <c r="N19" s="6">
        <v>7</v>
      </c>
      <c r="O19" s="6">
        <v>52000</v>
      </c>
      <c r="P19" s="6" t="s">
        <v>88</v>
      </c>
      <c r="Q19" s="6" t="s">
        <v>89</v>
      </c>
      <c r="R19" s="6">
        <v>850</v>
      </c>
    </row>
    <row r="20" spans="6:18" x14ac:dyDescent="0.3">
      <c r="F20" s="6">
        <v>19</v>
      </c>
      <c r="G20" s="6" t="s">
        <v>51</v>
      </c>
      <c r="H20" s="6">
        <v>77</v>
      </c>
      <c r="I20" s="6">
        <v>79</v>
      </c>
      <c r="J20" s="6" t="s">
        <v>90</v>
      </c>
      <c r="K20" s="6" t="s">
        <v>91</v>
      </c>
      <c r="L20" s="6">
        <v>450</v>
      </c>
      <c r="M20" s="6" t="s">
        <v>92</v>
      </c>
      <c r="N20" s="6">
        <v>5</v>
      </c>
      <c r="O20" s="6">
        <v>31000</v>
      </c>
      <c r="P20" s="6" t="s">
        <v>99</v>
      </c>
      <c r="Q20" s="6" t="s">
        <v>89</v>
      </c>
      <c r="R20" s="6">
        <v>500</v>
      </c>
    </row>
    <row r="21" spans="6:18" x14ac:dyDescent="0.3">
      <c r="F21" s="6">
        <v>20</v>
      </c>
      <c r="G21" s="6" t="s">
        <v>52</v>
      </c>
      <c r="H21" s="6">
        <v>89</v>
      </c>
      <c r="I21" s="6">
        <v>90</v>
      </c>
      <c r="J21" s="6" t="s">
        <v>85</v>
      </c>
      <c r="K21" s="6" t="s">
        <v>86</v>
      </c>
      <c r="L21" s="6">
        <v>950</v>
      </c>
      <c r="M21" s="6" t="s">
        <v>87</v>
      </c>
      <c r="N21" s="6">
        <v>6</v>
      </c>
      <c r="O21" s="6">
        <v>58000</v>
      </c>
      <c r="P21" s="6" t="s">
        <v>88</v>
      </c>
      <c r="Q21" s="6" t="s">
        <v>89</v>
      </c>
      <c r="R21" s="6">
        <v>1100</v>
      </c>
    </row>
  </sheetData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zoomScaleNormal="100" workbookViewId="0">
      <selection activeCell="B20" sqref="B20"/>
    </sheetView>
  </sheetViews>
  <sheetFormatPr defaultColWidth="14.44140625" defaultRowHeight="15" customHeight="1" x14ac:dyDescent="0.3"/>
  <cols>
    <col min="1" max="1" width="8.6640625" customWidth="1"/>
    <col min="2" max="2" width="79.88671875" customWidth="1"/>
    <col min="3" max="3" width="20.77734375" customWidth="1"/>
    <col min="4" max="8" width="8.6640625" customWidth="1"/>
    <col min="9" max="9" width="12" customWidth="1"/>
    <col min="10" max="26" width="8.6640625" customWidth="1"/>
  </cols>
  <sheetData>
    <row r="1" spans="1:11" ht="28.8" x14ac:dyDescent="0.3">
      <c r="A1" s="1" t="s">
        <v>0</v>
      </c>
      <c r="B1" s="1" t="s">
        <v>1</v>
      </c>
      <c r="E1" s="5" t="s">
        <v>27</v>
      </c>
      <c r="F1" s="5" t="s">
        <v>105</v>
      </c>
      <c r="G1" s="5" t="s">
        <v>106</v>
      </c>
      <c r="H1" s="5" t="s">
        <v>107</v>
      </c>
      <c r="I1" s="5" t="s">
        <v>30</v>
      </c>
      <c r="J1" s="5" t="s">
        <v>108</v>
      </c>
      <c r="K1" s="5" t="s">
        <v>149</v>
      </c>
    </row>
    <row r="2" spans="1:11" ht="28.8" x14ac:dyDescent="0.3">
      <c r="A2" s="3">
        <v>1</v>
      </c>
      <c r="B2" s="4" t="s">
        <v>22</v>
      </c>
      <c r="E2" s="6">
        <v>1</v>
      </c>
      <c r="F2" s="6" t="s">
        <v>33</v>
      </c>
      <c r="G2" s="6" t="s">
        <v>109</v>
      </c>
      <c r="H2" s="6" t="s">
        <v>110</v>
      </c>
      <c r="I2" s="7">
        <v>45658</v>
      </c>
      <c r="J2" s="6">
        <v>1500</v>
      </c>
      <c r="K2" t="str">
        <f>CONCATENATE(F2," ",G2)</f>
        <v>Ahmed Khan</v>
      </c>
    </row>
    <row r="3" spans="1:11" ht="28.8" x14ac:dyDescent="0.3">
      <c r="A3" s="3">
        <v>2</v>
      </c>
      <c r="B3" s="4" t="s">
        <v>23</v>
      </c>
      <c r="E3" s="6">
        <v>2</v>
      </c>
      <c r="F3" s="6" t="s">
        <v>34</v>
      </c>
      <c r="G3" s="6" t="s">
        <v>111</v>
      </c>
      <c r="H3" s="6" t="s">
        <v>112</v>
      </c>
      <c r="I3" s="7">
        <v>45659</v>
      </c>
      <c r="J3" s="6">
        <v>2500</v>
      </c>
      <c r="K3" t="str">
        <f t="shared" ref="K3:K21" si="0">CONCATENATE(F3," ",G3)</f>
        <v>Rahul Sharma</v>
      </c>
    </row>
    <row r="4" spans="1:11" ht="28.8" x14ac:dyDescent="0.3">
      <c r="A4" s="3">
        <v>3</v>
      </c>
      <c r="B4" s="4" t="s">
        <v>24</v>
      </c>
      <c r="E4" s="6">
        <v>3</v>
      </c>
      <c r="F4" s="6" t="s">
        <v>35</v>
      </c>
      <c r="G4" s="6" t="s">
        <v>113</v>
      </c>
      <c r="H4" s="6" t="s">
        <v>114</v>
      </c>
      <c r="I4" s="7">
        <v>45660</v>
      </c>
      <c r="J4" s="6">
        <v>3200</v>
      </c>
      <c r="K4" t="str">
        <f t="shared" si="0"/>
        <v>Sneha Patel</v>
      </c>
    </row>
    <row r="5" spans="1:11" ht="28.8" x14ac:dyDescent="0.3">
      <c r="A5" s="3">
        <v>4</v>
      </c>
      <c r="B5" s="4" t="s">
        <v>25</v>
      </c>
      <c r="E5" s="6">
        <v>4</v>
      </c>
      <c r="F5" s="6" t="s">
        <v>36</v>
      </c>
      <c r="G5" s="6" t="s">
        <v>115</v>
      </c>
      <c r="H5" s="6" t="s">
        <v>116</v>
      </c>
      <c r="I5" s="7">
        <v>45661</v>
      </c>
      <c r="J5" s="6">
        <v>1800</v>
      </c>
      <c r="K5" t="str">
        <f t="shared" si="0"/>
        <v>Aman Verma</v>
      </c>
    </row>
    <row r="6" spans="1:11" ht="28.8" x14ac:dyDescent="0.3">
      <c r="A6" s="3">
        <v>5</v>
      </c>
      <c r="B6" s="4" t="s">
        <v>26</v>
      </c>
      <c r="E6" s="6">
        <v>5</v>
      </c>
      <c r="F6" s="6" t="s">
        <v>37</v>
      </c>
      <c r="G6" s="6" t="s">
        <v>117</v>
      </c>
      <c r="H6" s="6" t="s">
        <v>118</v>
      </c>
      <c r="I6" s="7">
        <v>45662</v>
      </c>
      <c r="J6" s="6">
        <v>4500</v>
      </c>
      <c r="K6" t="str">
        <f t="shared" si="0"/>
        <v>Priya Mehta</v>
      </c>
    </row>
    <row r="7" spans="1:11" ht="15" customHeight="1" x14ac:dyDescent="0.3">
      <c r="E7" s="6">
        <v>6</v>
      </c>
      <c r="F7" s="6" t="s">
        <v>38</v>
      </c>
      <c r="G7" s="6" t="s">
        <v>119</v>
      </c>
      <c r="H7" s="6" t="s">
        <v>120</v>
      </c>
      <c r="I7" s="7">
        <v>45663</v>
      </c>
      <c r="J7" s="6">
        <v>2200</v>
      </c>
      <c r="K7" t="str">
        <f t="shared" si="0"/>
        <v>Karan Singh</v>
      </c>
    </row>
    <row r="8" spans="1:11" ht="15" customHeight="1" x14ac:dyDescent="0.3">
      <c r="B8" s="10" t="s">
        <v>151</v>
      </c>
      <c r="C8" s="11" t="s">
        <v>150</v>
      </c>
      <c r="D8" s="11" t="str">
        <f>LEFT(F2,2)</f>
        <v>Ah</v>
      </c>
      <c r="E8" s="6">
        <v>7</v>
      </c>
      <c r="F8" s="6" t="s">
        <v>39</v>
      </c>
      <c r="G8" s="6" t="s">
        <v>121</v>
      </c>
      <c r="H8" s="6" t="s">
        <v>122</v>
      </c>
      <c r="I8" s="7">
        <v>45664</v>
      </c>
      <c r="J8" s="6">
        <v>2700</v>
      </c>
      <c r="K8" t="str">
        <f t="shared" si="0"/>
        <v>Neha Gupta</v>
      </c>
    </row>
    <row r="9" spans="1:11" ht="15" customHeight="1" x14ac:dyDescent="0.3">
      <c r="B9" s="11"/>
      <c r="C9" s="11" t="s">
        <v>152</v>
      </c>
      <c r="D9" s="11" t="str">
        <f>RIGHT(F2,3)</f>
        <v>med</v>
      </c>
      <c r="E9" s="6">
        <v>8</v>
      </c>
      <c r="F9" s="6" t="s">
        <v>40</v>
      </c>
      <c r="G9" s="6" t="s">
        <v>123</v>
      </c>
      <c r="H9" s="6" t="s">
        <v>124</v>
      </c>
      <c r="I9" s="7">
        <v>45665</v>
      </c>
      <c r="J9" s="6">
        <v>3900</v>
      </c>
      <c r="K9" t="str">
        <f t="shared" si="0"/>
        <v>Rohan Das</v>
      </c>
    </row>
    <row r="10" spans="1:11" ht="15" customHeight="1" x14ac:dyDescent="0.3">
      <c r="B10" s="11"/>
      <c r="C10" s="11" t="s">
        <v>153</v>
      </c>
      <c r="D10" s="11" t="str">
        <f>MID(F2,2,3)</f>
        <v>hme</v>
      </c>
      <c r="E10" s="6">
        <v>9</v>
      </c>
      <c r="F10" s="6" t="s">
        <v>41</v>
      </c>
      <c r="G10" s="6" t="s">
        <v>125</v>
      </c>
      <c r="H10" s="6" t="s">
        <v>126</v>
      </c>
      <c r="I10" s="7">
        <v>45666</v>
      </c>
      <c r="J10" s="6">
        <v>1200</v>
      </c>
      <c r="K10" t="str">
        <f t="shared" si="0"/>
        <v>Meena Joshi</v>
      </c>
    </row>
    <row r="11" spans="1:11" ht="15" customHeight="1" x14ac:dyDescent="0.3">
      <c r="B11" s="11" t="s">
        <v>154</v>
      </c>
      <c r="C11" s="11" t="str">
        <f>TEXT(I2,"DDDD,MMM D,YYYY")</f>
        <v>Wednesday,Jan 1,2025</v>
      </c>
      <c r="D11" s="11"/>
      <c r="E11" s="6">
        <v>10</v>
      </c>
      <c r="F11" s="6" t="s">
        <v>42</v>
      </c>
      <c r="G11" s="6" t="s">
        <v>127</v>
      </c>
      <c r="H11" s="6" t="s">
        <v>128</v>
      </c>
      <c r="I11" s="7">
        <v>45667</v>
      </c>
      <c r="J11" s="6">
        <v>5100</v>
      </c>
      <c r="K11" t="str">
        <f t="shared" si="0"/>
        <v>Arjun Nair</v>
      </c>
    </row>
    <row r="12" spans="1:11" ht="15" customHeight="1" x14ac:dyDescent="0.3">
      <c r="B12" s="11" t="s">
        <v>155</v>
      </c>
      <c r="C12" s="11" t="str">
        <f>TEXT(J2,"$#,##.00")</f>
        <v>$1,500.00</v>
      </c>
      <c r="D12" s="11"/>
      <c r="E12" s="6">
        <v>11</v>
      </c>
      <c r="F12" s="6" t="s">
        <v>43</v>
      </c>
      <c r="G12" s="6" t="s">
        <v>129</v>
      </c>
      <c r="H12" s="6" t="s">
        <v>130</v>
      </c>
      <c r="I12" s="7">
        <v>45668</v>
      </c>
      <c r="J12" s="6">
        <v>3300</v>
      </c>
      <c r="K12" t="str">
        <f t="shared" si="0"/>
        <v>Pooja Iyer</v>
      </c>
    </row>
    <row r="13" spans="1:11" ht="15" customHeight="1" x14ac:dyDescent="0.3">
      <c r="B13" s="11" t="s">
        <v>156</v>
      </c>
      <c r="C13" s="11" t="str">
        <f>RIGHT(K2,LEN(K2)-FIND(" ",K2))</f>
        <v>Khan</v>
      </c>
      <c r="D13" s="11"/>
      <c r="E13" s="6">
        <v>12</v>
      </c>
      <c r="F13" s="6" t="s">
        <v>44</v>
      </c>
      <c r="G13" s="6" t="s">
        <v>131</v>
      </c>
      <c r="H13" s="6" t="s">
        <v>132</v>
      </c>
      <c r="I13" s="7">
        <v>45669</v>
      </c>
      <c r="J13" s="6">
        <v>2900</v>
      </c>
      <c r="K13" t="str">
        <f t="shared" si="0"/>
        <v>Vivek Rao</v>
      </c>
    </row>
    <row r="14" spans="1:11" ht="15" customHeight="1" x14ac:dyDescent="0.3">
      <c r="E14" s="6">
        <v>13</v>
      </c>
      <c r="F14" s="6" t="s">
        <v>45</v>
      </c>
      <c r="G14" s="6" t="s">
        <v>133</v>
      </c>
      <c r="H14" s="6" t="s">
        <v>134</v>
      </c>
      <c r="I14" s="7">
        <v>45670</v>
      </c>
      <c r="J14" s="6">
        <v>4100</v>
      </c>
      <c r="K14" t="str">
        <f t="shared" si="0"/>
        <v>Kavya Shah</v>
      </c>
    </row>
    <row r="15" spans="1:11" ht="15" customHeight="1" x14ac:dyDescent="0.3">
      <c r="E15" s="6">
        <v>14</v>
      </c>
      <c r="F15" s="6" t="s">
        <v>46</v>
      </c>
      <c r="G15" s="6" t="s">
        <v>135</v>
      </c>
      <c r="H15" s="6" t="s">
        <v>136</v>
      </c>
      <c r="I15" s="7">
        <v>45671</v>
      </c>
      <c r="J15" s="6">
        <v>2000</v>
      </c>
      <c r="K15" t="str">
        <f t="shared" si="0"/>
        <v>Rohit Yadav</v>
      </c>
    </row>
    <row r="16" spans="1:11" ht="15" customHeight="1" x14ac:dyDescent="0.3">
      <c r="E16" s="6">
        <v>15</v>
      </c>
      <c r="F16" s="6" t="s">
        <v>47</v>
      </c>
      <c r="G16" s="6" t="s">
        <v>137</v>
      </c>
      <c r="H16" s="6" t="s">
        <v>138</v>
      </c>
      <c r="I16" s="7">
        <v>45672</v>
      </c>
      <c r="J16" s="6">
        <v>4700</v>
      </c>
      <c r="K16" t="str">
        <f t="shared" si="0"/>
        <v>Anjali Kapoor</v>
      </c>
    </row>
    <row r="17" spans="5:11" ht="15" customHeight="1" x14ac:dyDescent="0.3">
      <c r="E17" s="6">
        <v>16</v>
      </c>
      <c r="F17" s="6" t="s">
        <v>48</v>
      </c>
      <c r="G17" s="6" t="s">
        <v>139</v>
      </c>
      <c r="H17" s="6" t="s">
        <v>140</v>
      </c>
      <c r="I17" s="7">
        <v>45673</v>
      </c>
      <c r="J17" s="6">
        <v>3600</v>
      </c>
      <c r="K17" t="str">
        <f t="shared" si="0"/>
        <v>Suresh Pillai</v>
      </c>
    </row>
    <row r="18" spans="5:11" ht="15" customHeight="1" x14ac:dyDescent="0.3">
      <c r="E18" s="6">
        <v>17</v>
      </c>
      <c r="F18" s="6" t="s">
        <v>49</v>
      </c>
      <c r="G18" s="6" t="s">
        <v>141</v>
      </c>
      <c r="H18" s="6" t="s">
        <v>142</v>
      </c>
      <c r="I18" s="7">
        <v>45674</v>
      </c>
      <c r="J18" s="6">
        <v>2800</v>
      </c>
      <c r="K18" t="str">
        <f t="shared" si="0"/>
        <v>Tina Roy</v>
      </c>
    </row>
    <row r="19" spans="5:11" ht="15" customHeight="1" x14ac:dyDescent="0.3">
      <c r="E19" s="6">
        <v>18</v>
      </c>
      <c r="F19" s="6" t="s">
        <v>50</v>
      </c>
      <c r="G19" s="6" t="s">
        <v>143</v>
      </c>
      <c r="H19" s="6" t="s">
        <v>144</v>
      </c>
      <c r="I19" s="7">
        <v>45675</v>
      </c>
      <c r="J19" s="6">
        <v>5400</v>
      </c>
      <c r="K19" t="str">
        <f t="shared" si="0"/>
        <v>Manish Choudhary</v>
      </c>
    </row>
    <row r="20" spans="5:11" ht="15" customHeight="1" x14ac:dyDescent="0.3">
      <c r="E20" s="6">
        <v>19</v>
      </c>
      <c r="F20" s="6" t="s">
        <v>51</v>
      </c>
      <c r="G20" s="6" t="s">
        <v>145</v>
      </c>
      <c r="H20" s="6" t="s">
        <v>146</v>
      </c>
      <c r="I20" s="7">
        <v>45676</v>
      </c>
      <c r="J20" s="6">
        <v>3100</v>
      </c>
      <c r="K20" t="str">
        <f t="shared" si="0"/>
        <v>Rekha Mishra</v>
      </c>
    </row>
    <row r="21" spans="5:11" ht="15.75" customHeight="1" x14ac:dyDescent="0.3">
      <c r="E21" s="6">
        <v>20</v>
      </c>
      <c r="F21" s="6" t="s">
        <v>52</v>
      </c>
      <c r="G21" s="6" t="s">
        <v>147</v>
      </c>
      <c r="H21" s="6" t="s">
        <v>148</v>
      </c>
      <c r="I21" s="7">
        <v>45677</v>
      </c>
      <c r="J21" s="6">
        <v>6000</v>
      </c>
      <c r="K21" t="str">
        <f t="shared" si="0"/>
        <v>Deepak Agarwal</v>
      </c>
    </row>
    <row r="22" spans="5:11" ht="15.75" customHeight="1" x14ac:dyDescent="0.3"/>
    <row r="23" spans="5:11" ht="15.75" customHeight="1" x14ac:dyDescent="0.3"/>
    <row r="24" spans="5:11" ht="15.75" customHeight="1" x14ac:dyDescent="0.3"/>
    <row r="25" spans="5:11" ht="15.75" customHeight="1" x14ac:dyDescent="0.3"/>
    <row r="26" spans="5:11" ht="15.75" customHeight="1" x14ac:dyDescent="0.3"/>
    <row r="27" spans="5:11" ht="15.75" customHeight="1" x14ac:dyDescent="0.3"/>
    <row r="28" spans="5:11" ht="15.75" customHeight="1" x14ac:dyDescent="0.3"/>
    <row r="29" spans="5:11" ht="15.75" customHeight="1" x14ac:dyDescent="0.3"/>
    <row r="30" spans="5:11" ht="15.75" customHeight="1" x14ac:dyDescent="0.3"/>
    <row r="31" spans="5:11" ht="15.75" customHeight="1" x14ac:dyDescent="0.3"/>
    <row r="32" spans="5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and Nesting IF Functions</vt:lpstr>
      <vt:lpstr>Using IF with AND OR Formulas</vt:lpstr>
      <vt:lpstr>COUNTIFS, SUMIFS, AVERAGEIFS</vt:lpstr>
      <vt:lpstr>Excel 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2026-04-15T12:48:09Z</dcterms:modified>
</cp:coreProperties>
</file>