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bd11af68ae4c0ef/Desktop/Lab  work/"/>
    </mc:Choice>
  </mc:AlternateContent>
  <xr:revisionPtr revIDLastSave="205" documentId="11_0CFAC587937B8B0E6F0E276CBDDD465859708FBB" xr6:coauthVersionLast="47" xr6:coauthVersionMax="47" xr10:uidLastSave="{36E82979-9D09-4B56-A265-C8094BC2ECAF}"/>
  <bookViews>
    <workbookView xWindow="-108" yWindow="-108" windowWidth="23256" windowHeight="12456" activeTab="2" xr2:uid="{00000000-000D-0000-FFFF-FFFF00000000}"/>
  </bookViews>
  <sheets>
    <sheet name="Tasks" sheetId="1" r:id="rId1"/>
    <sheet name="Distribution" sheetId="4" r:id="rId2"/>
    <sheet name="Dataset" sheetId="2" r:id="rId3"/>
  </sheets>
  <calcPr calcId="191029"/>
  <pivotCaches>
    <pivotCache cacheId="6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5" i="2" l="1"/>
  <c r="G45" i="2"/>
  <c r="F45" i="2"/>
  <c r="F41" i="2"/>
  <c r="G39" i="2"/>
  <c r="G38" i="2"/>
  <c r="G37" i="2"/>
  <c r="G34" i="2"/>
  <c r="I31" i="2"/>
  <c r="I30" i="2"/>
  <c r="I26" i="2"/>
  <c r="I27" i="2"/>
  <c r="I28" i="2"/>
  <c r="I29" i="2"/>
  <c r="I25" i="2"/>
  <c r="I24" i="2"/>
  <c r="E19" i="2" a="1"/>
  <c r="E19" i="2" s="1"/>
  <c r="F17" i="2"/>
  <c r="F16" i="2"/>
  <c r="F15" i="2"/>
  <c r="F14" i="2"/>
  <c r="P2" i="2" a="1"/>
  <c r="P2" i="2" s="1"/>
  <c r="P21" i="2" a="1"/>
  <c r="P21" i="2" s="1"/>
  <c r="P8" i="2" a="1"/>
  <c r="P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<sst xmlns="http://schemas.openxmlformats.org/spreadsheetml/2006/main" count="146" uniqueCount="102">
  <si>
    <t>Task</t>
  </si>
  <si>
    <t>Instructions</t>
  </si>
  <si>
    <t>1</t>
  </si>
  <si>
    <t>Compare Lists &amp; Find Matching Names</t>
  </si>
  <si>
    <t>Find employees who are both in employee_list_1 and employee_list_2</t>
  </si>
  <si>
    <t>2</t>
  </si>
  <si>
    <t>Identify employees in list 1 but not in list 2 (unique employees)</t>
  </si>
  <si>
    <t>3</t>
  </si>
  <si>
    <t>Create a consolidated list of all unique employees from both lists</t>
  </si>
  <si>
    <t>4</t>
  </si>
  <si>
    <t>Find Most Occurring Items</t>
  </si>
  <si>
    <t>Count how many employees are in each department</t>
  </si>
  <si>
    <t>5</t>
  </si>
  <si>
    <t>Find which project has the most team members</t>
  </si>
  <si>
    <t>6</t>
  </si>
  <si>
    <t>Create a frequency distribution of departments</t>
  </si>
  <si>
    <t>7</t>
  </si>
  <si>
    <t>Abbreviations Practice</t>
  </si>
  <si>
    <t>Create 3-letter abbreviations from company names (e.g., IBM, AWS)</t>
  </si>
  <si>
    <t>8</t>
  </si>
  <si>
    <t>Extract first letter of each word in company names</t>
  </si>
  <si>
    <t>9</t>
  </si>
  <si>
    <t>Create custom abbreviations keeping first 2 letters of each word</t>
  </si>
  <si>
    <t>10</t>
  </si>
  <si>
    <t>Using employee_list_1 and employee_list_2</t>
  </si>
  <si>
    <t>Practice VLOOKUP/XLOOKUP to match employees with their projects</t>
  </si>
  <si>
    <t>11</t>
  </si>
  <si>
    <t>Use COUNTIF for department/project analysis</t>
  </si>
  <si>
    <t>12</t>
  </si>
  <si>
    <t>Create pivot tables for employee distribution</t>
  </si>
  <si>
    <t>13</t>
  </si>
  <si>
    <t>Using company_names</t>
  </si>
  <si>
    <t>Practice LEFT, MID, RIGHT functions</t>
  </si>
  <si>
    <t>14</t>
  </si>
  <si>
    <t>Use TEXTJOIN to create custom abbreviations</t>
  </si>
  <si>
    <t>15</t>
  </si>
  <si>
    <t>Extract words using TEXTSPLIT</t>
  </si>
  <si>
    <t>employee_list_1</t>
  </si>
  <si>
    <t>employee_list_2</t>
  </si>
  <si>
    <t>company_names</t>
  </si>
  <si>
    <t>Employee Name</t>
  </si>
  <si>
    <t>Department</t>
  </si>
  <si>
    <t>Project</t>
  </si>
  <si>
    <t>Full Company Name</t>
  </si>
  <si>
    <t>John Smith</t>
  </si>
  <si>
    <t>Sales</t>
  </si>
  <si>
    <t>Project A</t>
  </si>
  <si>
    <t>International Business Machines</t>
  </si>
  <si>
    <t>Sarah Johnson</t>
  </si>
  <si>
    <t>Marketing</t>
  </si>
  <si>
    <t>Emma Davis</t>
  </si>
  <si>
    <t>Project B</t>
  </si>
  <si>
    <t>Microsoft Corporation</t>
  </si>
  <si>
    <t>Michael Brown</t>
  </si>
  <si>
    <t>IT</t>
  </si>
  <si>
    <t>Apple Computer Inc</t>
  </si>
  <si>
    <t>Chris Taylor</t>
  </si>
  <si>
    <t>Project C</t>
  </si>
  <si>
    <t>Meta Platforms Inc</t>
  </si>
  <si>
    <t>James Wilson</t>
  </si>
  <si>
    <t>Lisa Anderson</t>
  </si>
  <si>
    <t>Alphabet Technologies</t>
  </si>
  <si>
    <t>HR</t>
  </si>
  <si>
    <t>Amazon Web Services</t>
  </si>
  <si>
    <t>David Miller</t>
  </si>
  <si>
    <t>Tom Wilson</t>
  </si>
  <si>
    <t>Tesla Motors Corporation</t>
  </si>
  <si>
    <t>Jennifer White</t>
  </si>
  <si>
    <t>Netflix Entertainment</t>
  </si>
  <si>
    <t>sales</t>
  </si>
  <si>
    <t>marketing</t>
  </si>
  <si>
    <t>NO. OF EMPLOYEES</t>
  </si>
  <si>
    <t>Same as question number 4</t>
  </si>
  <si>
    <t>International</t>
  </si>
  <si>
    <t>Business</t>
  </si>
  <si>
    <t>Machines</t>
  </si>
  <si>
    <t>Microsoft</t>
  </si>
  <si>
    <t>Corporation</t>
  </si>
  <si>
    <t>Apple</t>
  </si>
  <si>
    <t>Computer</t>
  </si>
  <si>
    <t>Inc</t>
  </si>
  <si>
    <t>Meta</t>
  </si>
  <si>
    <t>Platforms</t>
  </si>
  <si>
    <t>Alphabet</t>
  </si>
  <si>
    <t>Technologies</t>
  </si>
  <si>
    <t>Amazon</t>
  </si>
  <si>
    <t>Web</t>
  </si>
  <si>
    <t>Services</t>
  </si>
  <si>
    <t>Tesla</t>
  </si>
  <si>
    <t>Motors</t>
  </si>
  <si>
    <t>Netflix</t>
  </si>
  <si>
    <t>Entertainment</t>
  </si>
  <si>
    <t>SEARCH EMPLOYEE</t>
  </si>
  <si>
    <t>PROJECT</t>
  </si>
  <si>
    <t>John smith</t>
  </si>
  <si>
    <t xml:space="preserve">No Of Projects </t>
  </si>
  <si>
    <t>Row Labels</t>
  </si>
  <si>
    <t>Grand Total</t>
  </si>
  <si>
    <t>Count of Employee Name</t>
  </si>
  <si>
    <t>LEFT</t>
  </si>
  <si>
    <t>MID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</si>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</sst>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B5394"/>
        <bgColor rgb="FF0B539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6" fillId="3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0" fillId="0" borderId="17" xfId="0" applyBorder="1"/>
    <xf numFmtId="0" fontId="0" fillId="0" borderId="18" xfId="0" applyBorder="1"/>
    <xf numFmtId="0" fontId="2" fillId="0" borderId="0" xfId="0" applyFont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7" xfId="0" applyFont="1" applyBorder="1"/>
    <xf numFmtId="0" fontId="0" fillId="0" borderId="7" xfId="0" applyBorder="1"/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3" borderId="2" xfId="0" applyFont="1" applyFill="1" applyBorder="1"/>
    <xf numFmtId="0" fontId="4" fillId="0" borderId="3" xfId="0" applyFont="1" applyBorder="1"/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5" fillId="0" borderId="24" xfId="0" applyFont="1" applyBorder="1"/>
    <xf numFmtId="0" fontId="5" fillId="0" borderId="25" xfId="0" applyFont="1" applyBorder="1"/>
    <xf numFmtId="0" fontId="5" fillId="0" borderId="26" xfId="0" applyFont="1" applyBorder="1"/>
    <xf numFmtId="0" fontId="1" fillId="0" borderId="24" xfId="0" applyFont="1" applyBorder="1"/>
    <xf numFmtId="0" fontId="1" fillId="0" borderId="20" xfId="0" applyFont="1" applyBorder="1"/>
    <xf numFmtId="0" fontId="1" fillId="0" borderId="26" xfId="0" applyFont="1" applyFill="1" applyBorder="1"/>
    <xf numFmtId="0" fontId="1" fillId="0" borderId="11" xfId="0" applyFont="1" applyBorder="1"/>
    <xf numFmtId="0" fontId="1" fillId="0" borderId="12" xfId="0" applyFont="1" applyFill="1" applyBorder="1"/>
    <xf numFmtId="0" fontId="1" fillId="0" borderId="13" xfId="0" applyFont="1" applyFill="1" applyBorder="1"/>
    <xf numFmtId="0" fontId="1" fillId="0" borderId="7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0" borderId="7" xfId="1" applyBorder="1" applyAlignment="1">
      <alignment horizontal="center"/>
    </xf>
    <xf numFmtId="0" fontId="1" fillId="0" borderId="19" xfId="0" applyFont="1" applyBorder="1"/>
    <xf numFmtId="0" fontId="0" fillId="0" borderId="2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Work 6.1 _ Excel - AI_ML - DA_DS.xlsx]Distribution!PivotTable2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Distribution!$B$3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Distribution!$A$4:$A$8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Distribution!$B$4:$B$8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A-4E58-81F7-AC722F963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06720528"/>
        <c:axId val="706723408"/>
      </c:barChart>
      <c:catAx>
        <c:axId val="7067205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723408"/>
        <c:crosses val="autoZero"/>
        <c:auto val="1"/>
        <c:lblAlgn val="ctr"/>
        <c:lblOffset val="100"/>
        <c:noMultiLvlLbl val="0"/>
      </c:catAx>
      <c:valAx>
        <c:axId val="7067234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72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8</xdr:row>
      <xdr:rowOff>171450</xdr:rowOff>
    </xdr:from>
    <xdr:to>
      <xdr:col>5</xdr:col>
      <xdr:colOff>327660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72D14-CBAA-91DF-336C-595104BE2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" refreshedDate="46135.859327777776" createdVersion="8" refreshedVersion="8" minRefreshableVersion="3" recordCount="8" xr:uid="{F83ABBF5-4472-4A72-9102-A2EEFD9F1108}">
  <cacheSource type="worksheet">
    <worksheetSource ref="A2:B10" sheet="Dataset"/>
  </cacheSource>
  <cacheFields count="2">
    <cacheField name="Employee Name" numFmtId="0">
      <sharedItems/>
    </cacheField>
    <cacheField name="Department" numFmtId="0">
      <sharedItems count="4">
        <s v="Sales"/>
        <s v="Marketing"/>
        <s v="IT"/>
        <s v="H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John Smith"/>
    <x v="0"/>
  </r>
  <r>
    <s v="Sarah Johnson"/>
    <x v="1"/>
  </r>
  <r>
    <s v="Michael Brown"/>
    <x v="2"/>
  </r>
  <r>
    <s v="Emma Davis"/>
    <x v="0"/>
  </r>
  <r>
    <s v="James Wilson"/>
    <x v="1"/>
  </r>
  <r>
    <s v="Lisa Anderson"/>
    <x v="3"/>
  </r>
  <r>
    <s v="David Miller"/>
    <x v="2"/>
  </r>
  <r>
    <s v="Jennifer Whit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07C3E-B17F-4290-A69E-8C4B691CFEA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">
    <pivotField dataField="1"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Name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7"/>
  <sheetViews>
    <sheetView topLeftCell="A5" workbookViewId="0">
      <selection activeCell="C14" sqref="C14"/>
    </sheetView>
  </sheetViews>
  <sheetFormatPr defaultColWidth="14.44140625" defaultRowHeight="15" customHeight="1"/>
  <cols>
    <col min="1" max="1" width="8.6640625" customWidth="1"/>
    <col min="2" max="2" width="25.6640625" customWidth="1"/>
    <col min="3" max="3" width="61" customWidth="1"/>
    <col min="4" max="27" width="8.6640625" customWidth="1"/>
  </cols>
  <sheetData>
    <row r="1" spans="1:27" ht="14.4">
      <c r="A1" s="1" t="s">
        <v>0</v>
      </c>
      <c r="B1" s="35" t="s">
        <v>1</v>
      </c>
      <c r="C1" s="3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4">
      <c r="A2" s="3" t="s">
        <v>2</v>
      </c>
      <c r="B2" s="32" t="s">
        <v>3</v>
      </c>
      <c r="C2" s="4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>
      <c r="A3" s="3" t="s">
        <v>5</v>
      </c>
      <c r="B3" s="33"/>
      <c r="C3" s="4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4">
      <c r="A4" s="3" t="s">
        <v>7</v>
      </c>
      <c r="B4" s="34"/>
      <c r="C4" s="4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4">
      <c r="A5" s="3" t="s">
        <v>9</v>
      </c>
      <c r="B5" s="32" t="s">
        <v>10</v>
      </c>
      <c r="C5" s="4" t="s">
        <v>11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4">
      <c r="A6" s="3" t="s">
        <v>12</v>
      </c>
      <c r="B6" s="33"/>
      <c r="C6" s="4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4">
      <c r="A7" s="3" t="s">
        <v>14</v>
      </c>
      <c r="B7" s="34"/>
      <c r="C7" s="4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>
      <c r="A8" s="3" t="s">
        <v>16</v>
      </c>
      <c r="B8" s="32" t="s">
        <v>17</v>
      </c>
      <c r="C8" s="4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>
      <c r="A9" s="3" t="s">
        <v>19</v>
      </c>
      <c r="B9" s="33"/>
      <c r="C9" s="4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>
      <c r="A10" s="3" t="s">
        <v>21</v>
      </c>
      <c r="B10" s="34"/>
      <c r="C10" s="4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>
      <c r="A11" s="3" t="s">
        <v>23</v>
      </c>
      <c r="B11" s="32" t="s">
        <v>24</v>
      </c>
      <c r="C11" s="4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>
      <c r="A12" s="3" t="s">
        <v>26</v>
      </c>
      <c r="B12" s="33"/>
      <c r="C12" s="4" t="s">
        <v>27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>
      <c r="A13" s="3" t="s">
        <v>28</v>
      </c>
      <c r="B13" s="34"/>
      <c r="C13" s="4" t="s">
        <v>29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>
      <c r="A14" s="3" t="s">
        <v>30</v>
      </c>
      <c r="B14" s="32" t="s">
        <v>31</v>
      </c>
      <c r="C14" s="4" t="s">
        <v>32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>
      <c r="A15" s="3" t="s">
        <v>33</v>
      </c>
      <c r="B15" s="33"/>
      <c r="C15" s="4" t="s">
        <v>34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>
      <c r="A16" s="3" t="s">
        <v>35</v>
      </c>
      <c r="B16" s="34"/>
      <c r="C16" s="4" t="s">
        <v>36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>
      <c r="A17" s="2"/>
      <c r="B17" s="5"/>
      <c r="C17" s="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2"/>
      <c r="B18" s="5"/>
      <c r="C18" s="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2"/>
      <c r="B19" s="5"/>
      <c r="C19" s="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2"/>
      <c r="B20" s="5"/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"/>
      <c r="B21" s="5"/>
      <c r="C21" s="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"/>
      <c r="B22" s="5"/>
      <c r="C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"/>
      <c r="B23" s="5"/>
      <c r="C23" s="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"/>
      <c r="B24" s="5"/>
      <c r="C24" s="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"/>
      <c r="B25" s="5"/>
      <c r="C25" s="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"/>
      <c r="B26" s="5"/>
      <c r="C26" s="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"/>
      <c r="B27" s="5"/>
      <c r="C27" s="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2"/>
      <c r="B28" s="5"/>
      <c r="C28" s="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2"/>
      <c r="B29" s="5"/>
      <c r="C29" s="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2"/>
      <c r="B30" s="5"/>
      <c r="C30" s="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2"/>
      <c r="B31" s="5"/>
      <c r="C31" s="6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5"/>
      <c r="C32" s="6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5"/>
      <c r="C33" s="6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5"/>
      <c r="C34" s="6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5"/>
      <c r="C35" s="6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5"/>
      <c r="C36" s="6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5"/>
      <c r="C37" s="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5"/>
      <c r="C38" s="6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5"/>
      <c r="C39" s="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5"/>
      <c r="C40" s="6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5"/>
      <c r="C41" s="6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5"/>
      <c r="C42" s="6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5"/>
      <c r="C43" s="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5"/>
      <c r="C44" s="6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5"/>
      <c r="C45" s="6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5"/>
      <c r="C46" s="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5"/>
      <c r="C47" s="6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5"/>
      <c r="C48" s="6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5"/>
      <c r="C49" s="6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5"/>
      <c r="C50" s="6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5"/>
      <c r="C51" s="6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5"/>
      <c r="C52" s="6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5"/>
      <c r="C53" s="6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5"/>
      <c r="C54" s="6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5"/>
      <c r="C55" s="6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5"/>
      <c r="C56" s="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5"/>
      <c r="C57" s="6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5"/>
      <c r="C58" s="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5"/>
      <c r="C59" s="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5"/>
      <c r="C60" s="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5"/>
      <c r="C61" s="6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5"/>
      <c r="C62" s="6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5"/>
      <c r="C63" s="6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5"/>
      <c r="C64" s="6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5"/>
      <c r="C65" s="6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5"/>
      <c r="C66" s="6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5"/>
      <c r="C67" s="6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5"/>
      <c r="C68" s="6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5"/>
      <c r="C69" s="6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5"/>
      <c r="C70" s="6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5"/>
      <c r="C71" s="6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5"/>
      <c r="C72" s="6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5"/>
      <c r="C73" s="6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5"/>
      <c r="C74" s="6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5"/>
      <c r="C75" s="6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5"/>
      <c r="C76" s="6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5"/>
      <c r="C77" s="6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5"/>
      <c r="C78" s="6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5"/>
      <c r="C79" s="6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5"/>
      <c r="C80" s="6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5"/>
      <c r="C81" s="6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5"/>
      <c r="C82" s="6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5"/>
      <c r="C83" s="6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5"/>
      <c r="C84" s="6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5"/>
      <c r="C85" s="6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5"/>
      <c r="C86" s="6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5"/>
      <c r="C87" s="6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5"/>
      <c r="C88" s="6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5"/>
      <c r="C89" s="6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5"/>
      <c r="C90" s="6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5"/>
      <c r="C91" s="6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5"/>
      <c r="C92" s="6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5"/>
      <c r="C93" s="6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5"/>
      <c r="C94" s="6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5"/>
      <c r="C95" s="6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5"/>
      <c r="C96" s="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5"/>
      <c r="C97" s="6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5"/>
      <c r="C98" s="6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5"/>
      <c r="C99" s="6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5"/>
      <c r="C100" s="6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5"/>
      <c r="C101" s="6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5"/>
      <c r="C102" s="6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5"/>
      <c r="C103" s="6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5"/>
      <c r="C104" s="6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5"/>
      <c r="C105" s="6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5"/>
      <c r="C106" s="6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5"/>
      <c r="C107" s="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5"/>
      <c r="C108" s="6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5"/>
      <c r="C109" s="6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5"/>
      <c r="C110" s="6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5"/>
      <c r="C111" s="6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5"/>
      <c r="C112" s="6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5"/>
      <c r="C113" s="6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5"/>
      <c r="C114" s="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5"/>
      <c r="C115" s="6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5"/>
      <c r="C116" s="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5"/>
      <c r="C117" s="6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5"/>
      <c r="C118" s="6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5"/>
      <c r="C119" s="6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5"/>
      <c r="C120" s="6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5"/>
      <c r="C121" s="6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5"/>
      <c r="C122" s="6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5"/>
      <c r="C123" s="6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5"/>
      <c r="C124" s="6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5"/>
      <c r="C125" s="6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5"/>
      <c r="C126" s="6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5"/>
      <c r="C127" s="6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5"/>
      <c r="C128" s="6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5"/>
      <c r="C129" s="6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5"/>
      <c r="C130" s="6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5"/>
      <c r="C131" s="6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5"/>
      <c r="C132" s="6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5"/>
      <c r="C133" s="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5"/>
      <c r="C134" s="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5"/>
      <c r="C135" s="6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5"/>
      <c r="C136" s="6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5"/>
      <c r="C137" s="6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5"/>
      <c r="C138" s="6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5"/>
      <c r="C139" s="6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5"/>
      <c r="C140" s="6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5"/>
      <c r="C141" s="6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5"/>
      <c r="C142" s="6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5"/>
      <c r="C143" s="6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5"/>
      <c r="C144" s="6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5"/>
      <c r="C145" s="6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5"/>
      <c r="C146" s="6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5"/>
      <c r="C147" s="6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5"/>
      <c r="C148" s="6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5"/>
      <c r="C149" s="6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5"/>
      <c r="C150" s="6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5"/>
      <c r="C151" s="6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5"/>
      <c r="C152" s="6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5"/>
      <c r="C153" s="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5"/>
      <c r="C154" s="6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5"/>
      <c r="C155" s="6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5"/>
      <c r="C156" s="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5"/>
      <c r="C157" s="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5"/>
      <c r="C158" s="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5"/>
      <c r="C159" s="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5"/>
      <c r="C160" s="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5"/>
      <c r="C161" s="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5"/>
      <c r="C162" s="6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5"/>
      <c r="C163" s="6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5"/>
      <c r="C164" s="6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5"/>
      <c r="C165" s="6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5"/>
      <c r="C166" s="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5"/>
      <c r="C167" s="6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5"/>
      <c r="C168" s="6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5"/>
      <c r="C169" s="6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5"/>
      <c r="C170" s="6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5"/>
      <c r="C171" s="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5"/>
      <c r="C172" s="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5"/>
      <c r="C173" s="6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5"/>
      <c r="C174" s="6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5"/>
      <c r="C175" s="6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5"/>
      <c r="C176" s="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5"/>
      <c r="C177" s="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5"/>
      <c r="C178" s="6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5"/>
      <c r="C179" s="6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5"/>
      <c r="C180" s="6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5"/>
      <c r="C181" s="6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5"/>
      <c r="C182" s="6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5"/>
      <c r="C183" s="6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5"/>
      <c r="C184" s="6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5"/>
      <c r="C185" s="6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5"/>
      <c r="C186" s="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5"/>
      <c r="C187" s="6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5"/>
      <c r="C188" s="6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5"/>
      <c r="C189" s="6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5"/>
      <c r="C190" s="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5"/>
      <c r="C191" s="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5"/>
      <c r="C192" s="6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5"/>
      <c r="C193" s="6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5"/>
      <c r="C194" s="6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5"/>
      <c r="C195" s="6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5"/>
      <c r="C196" s="6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5"/>
      <c r="C197" s="6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5"/>
      <c r="C198" s="6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5"/>
      <c r="C199" s="6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5"/>
      <c r="C200" s="6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5"/>
      <c r="C201" s="6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5"/>
      <c r="C202" s="6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5"/>
      <c r="C203" s="6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5"/>
      <c r="C204" s="6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5"/>
      <c r="C205" s="6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5"/>
      <c r="C206" s="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5"/>
      <c r="C207" s="6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5"/>
      <c r="C208" s="6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5"/>
      <c r="C209" s="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5"/>
      <c r="C210" s="6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5"/>
      <c r="C211" s="6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5"/>
      <c r="C212" s="6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5"/>
      <c r="C213" s="6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5"/>
      <c r="C214" s="6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5"/>
      <c r="C215" s="6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5"/>
      <c r="C216" s="6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5"/>
      <c r="C217" s="6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5"/>
      <c r="C218" s="6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5"/>
      <c r="C219" s="6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5"/>
      <c r="C220" s="6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5"/>
      <c r="C221" s="6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5"/>
      <c r="C222" s="6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5"/>
      <c r="C223" s="6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5"/>
      <c r="C224" s="6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5"/>
      <c r="C225" s="6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5"/>
      <c r="C226" s="6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5"/>
      <c r="C227" s="6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5"/>
      <c r="C228" s="6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5"/>
      <c r="C229" s="6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5"/>
      <c r="C230" s="6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5"/>
      <c r="C231" s="6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5"/>
      <c r="C232" s="6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5"/>
      <c r="C233" s="6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5"/>
      <c r="C234" s="6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5"/>
      <c r="C235" s="6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5"/>
      <c r="C236" s="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5"/>
      <c r="C237" s="6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5"/>
      <c r="C238" s="6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5"/>
      <c r="C239" s="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5"/>
      <c r="C240" s="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5"/>
      <c r="C241" s="6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5"/>
      <c r="C242" s="6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5"/>
      <c r="C243" s="6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5"/>
      <c r="C244" s="6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5"/>
      <c r="C245" s="6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5"/>
      <c r="C246" s="6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5"/>
      <c r="C247" s="6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5"/>
      <c r="C248" s="6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5"/>
      <c r="C249" s="6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5"/>
      <c r="C250" s="6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5"/>
      <c r="C251" s="6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5"/>
      <c r="C252" s="6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5"/>
      <c r="C253" s="6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5"/>
      <c r="C254" s="6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5"/>
      <c r="C255" s="6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5"/>
      <c r="C256" s="6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5"/>
      <c r="C257" s="6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5"/>
      <c r="C258" s="6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5"/>
      <c r="C259" s="6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5"/>
      <c r="C260" s="6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5"/>
      <c r="C261" s="6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5"/>
      <c r="C262" s="6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5"/>
      <c r="C263" s="6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5"/>
      <c r="C264" s="6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5"/>
      <c r="C265" s="6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5"/>
      <c r="C266" s="6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5"/>
      <c r="C267" s="6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5"/>
      <c r="C268" s="6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5"/>
      <c r="C269" s="6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5"/>
      <c r="C270" s="6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5"/>
      <c r="C271" s="6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5"/>
      <c r="C272" s="6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5"/>
      <c r="C273" s="6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5"/>
      <c r="C274" s="6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5"/>
      <c r="C275" s="6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5"/>
      <c r="C276" s="6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5"/>
      <c r="C277" s="6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5"/>
      <c r="C278" s="6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5"/>
      <c r="C279" s="6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5"/>
      <c r="C280" s="6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5"/>
      <c r="C281" s="6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5"/>
      <c r="C282" s="6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5"/>
      <c r="C283" s="6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5"/>
      <c r="C284" s="6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5"/>
      <c r="C285" s="6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5"/>
      <c r="C286" s="6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5"/>
      <c r="C287" s="6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5"/>
      <c r="C288" s="6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5"/>
      <c r="C289" s="6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5"/>
      <c r="C290" s="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5"/>
      <c r="C291" s="6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5"/>
      <c r="C292" s="6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5"/>
      <c r="C293" s="6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5"/>
      <c r="C294" s="6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5"/>
      <c r="C295" s="6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5"/>
      <c r="C296" s="6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5"/>
      <c r="C297" s="6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5"/>
      <c r="C298" s="6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5"/>
      <c r="C299" s="6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5"/>
      <c r="C300" s="6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5"/>
      <c r="C301" s="6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5"/>
      <c r="C302" s="6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5"/>
      <c r="C303" s="6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5"/>
      <c r="C304" s="6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5"/>
      <c r="C305" s="6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5"/>
      <c r="C306" s="6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5"/>
      <c r="C307" s="6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5"/>
      <c r="C308" s="6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5"/>
      <c r="C309" s="6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5"/>
      <c r="C310" s="6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5"/>
      <c r="C311" s="6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5"/>
      <c r="C312" s="6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5"/>
      <c r="C313" s="6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5"/>
      <c r="C314" s="6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5"/>
      <c r="C315" s="6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5"/>
      <c r="C316" s="6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5"/>
      <c r="C317" s="6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5"/>
      <c r="C318" s="6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5"/>
      <c r="C319" s="6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5"/>
      <c r="C320" s="6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5"/>
      <c r="C321" s="6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5"/>
      <c r="C322" s="6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5"/>
      <c r="C323" s="6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5"/>
      <c r="C324" s="6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5"/>
      <c r="C325" s="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5"/>
      <c r="C326" s="6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5"/>
      <c r="C327" s="6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5"/>
      <c r="C328" s="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5"/>
      <c r="C329" s="6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5"/>
      <c r="C330" s="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5"/>
      <c r="C331" s="6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5"/>
      <c r="C332" s="6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5"/>
      <c r="C333" s="6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5"/>
      <c r="C334" s="6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5"/>
      <c r="C335" s="6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5"/>
      <c r="C336" s="6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5"/>
      <c r="C337" s="6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5"/>
      <c r="C338" s="6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5"/>
      <c r="C339" s="6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5"/>
      <c r="C340" s="6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5"/>
      <c r="C341" s="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5"/>
      <c r="C342" s="6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5"/>
      <c r="C343" s="6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5"/>
      <c r="C344" s="6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5"/>
      <c r="C345" s="6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5"/>
      <c r="C346" s="6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5"/>
      <c r="C347" s="6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5"/>
      <c r="C348" s="6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5"/>
      <c r="C349" s="6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5"/>
      <c r="C350" s="6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5"/>
      <c r="C351" s="6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5"/>
      <c r="C352" s="6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5"/>
      <c r="C353" s="6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5"/>
      <c r="C354" s="6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5"/>
      <c r="C355" s="6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5"/>
      <c r="C356" s="6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5"/>
      <c r="C357" s="6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5"/>
      <c r="C358" s="6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5"/>
      <c r="C359" s="6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5"/>
      <c r="C360" s="6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5"/>
      <c r="C361" s="6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5"/>
      <c r="C362" s="6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5"/>
      <c r="C363" s="6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5"/>
      <c r="C364" s="6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5"/>
      <c r="C365" s="6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5"/>
      <c r="C366" s="6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5"/>
      <c r="C367" s="6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5"/>
      <c r="C368" s="6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5"/>
      <c r="C369" s="6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5"/>
      <c r="C370" s="6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5"/>
      <c r="C371" s="6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5"/>
      <c r="C372" s="6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5"/>
      <c r="C373" s="6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5"/>
      <c r="C374" s="6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5"/>
      <c r="C375" s="6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5"/>
      <c r="C376" s="6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5"/>
      <c r="C377" s="6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5"/>
      <c r="C378" s="6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5"/>
      <c r="C379" s="6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5"/>
      <c r="C380" s="6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5"/>
      <c r="C381" s="6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5"/>
      <c r="C382" s="6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5"/>
      <c r="C383" s="6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5"/>
      <c r="C384" s="6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5"/>
      <c r="C385" s="6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5"/>
      <c r="C386" s="6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5"/>
      <c r="C387" s="6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5"/>
      <c r="C388" s="6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5"/>
      <c r="C389" s="6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5"/>
      <c r="C390" s="6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5"/>
      <c r="C391" s="6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5"/>
      <c r="C392" s="6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5"/>
      <c r="C393" s="6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5"/>
      <c r="C394" s="6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5"/>
      <c r="C395" s="6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5"/>
      <c r="C396" s="6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5"/>
      <c r="C397" s="6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5"/>
      <c r="C398" s="6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5"/>
      <c r="C399" s="6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5"/>
      <c r="C400" s="6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5"/>
      <c r="C401" s="6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5"/>
      <c r="C402" s="6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5"/>
      <c r="C403" s="6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5"/>
      <c r="C404" s="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5"/>
      <c r="C405" s="6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5"/>
      <c r="C406" s="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5"/>
      <c r="C407" s="6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5"/>
      <c r="C408" s="6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5"/>
      <c r="C409" s="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5"/>
      <c r="C410" s="6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5"/>
      <c r="C411" s="6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5"/>
      <c r="C412" s="6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5"/>
      <c r="C413" s="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5"/>
      <c r="C414" s="6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5"/>
      <c r="C415" s="6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5"/>
      <c r="C416" s="6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5"/>
      <c r="C417" s="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5"/>
      <c r="C418" s="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5"/>
      <c r="C419" s="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5"/>
      <c r="C420" s="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5"/>
      <c r="C421" s="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5"/>
      <c r="C422" s="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5"/>
      <c r="C423" s="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5"/>
      <c r="C424" s="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5"/>
      <c r="C425" s="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5"/>
      <c r="C426" s="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5"/>
      <c r="C427" s="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5"/>
      <c r="C428" s="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5"/>
      <c r="C429" s="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5"/>
      <c r="C430" s="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5"/>
      <c r="C431" s="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5"/>
      <c r="C432" s="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5"/>
      <c r="C433" s="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5"/>
      <c r="C434" s="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5"/>
      <c r="C435" s="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5"/>
      <c r="C436" s="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5"/>
      <c r="C437" s="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5"/>
      <c r="C438" s="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5"/>
      <c r="C439" s="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5"/>
      <c r="C440" s="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5"/>
      <c r="C441" s="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5"/>
      <c r="C442" s="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5"/>
      <c r="C443" s="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5"/>
      <c r="C444" s="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5"/>
      <c r="C445" s="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5"/>
      <c r="C446" s="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5"/>
      <c r="C447" s="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5"/>
      <c r="C448" s="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5"/>
      <c r="C449" s="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5"/>
      <c r="C450" s="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5"/>
      <c r="C451" s="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5"/>
      <c r="C452" s="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5"/>
      <c r="C453" s="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5"/>
      <c r="C454" s="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5"/>
      <c r="C455" s="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5"/>
      <c r="C456" s="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5"/>
      <c r="C457" s="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5"/>
      <c r="C458" s="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5"/>
      <c r="C459" s="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5"/>
      <c r="C460" s="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5"/>
      <c r="C461" s="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5"/>
      <c r="C462" s="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5"/>
      <c r="C463" s="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5"/>
      <c r="C464" s="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5"/>
      <c r="C465" s="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5"/>
      <c r="C466" s="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5"/>
      <c r="C467" s="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5"/>
      <c r="C468" s="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5"/>
      <c r="C469" s="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5"/>
      <c r="C470" s="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5"/>
      <c r="C471" s="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5"/>
      <c r="C472" s="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5"/>
      <c r="C473" s="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5"/>
      <c r="C474" s="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5"/>
      <c r="C475" s="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5"/>
      <c r="C476" s="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5"/>
      <c r="C477" s="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5"/>
      <c r="C478" s="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5"/>
      <c r="C479" s="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5"/>
      <c r="C480" s="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5"/>
      <c r="C481" s="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5"/>
      <c r="C482" s="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5"/>
      <c r="C483" s="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5"/>
      <c r="C484" s="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5"/>
      <c r="C485" s="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5"/>
      <c r="C486" s="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5"/>
      <c r="C487" s="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5"/>
      <c r="C488" s="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5"/>
      <c r="C489" s="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5"/>
      <c r="C490" s="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5"/>
      <c r="C491" s="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5"/>
      <c r="C492" s="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5"/>
      <c r="C493" s="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5"/>
      <c r="C494" s="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5"/>
      <c r="C495" s="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5"/>
      <c r="C496" s="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5"/>
      <c r="C497" s="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5"/>
      <c r="C498" s="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5"/>
      <c r="C499" s="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5"/>
      <c r="C500" s="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5"/>
      <c r="C501" s="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5"/>
      <c r="C502" s="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5"/>
      <c r="C503" s="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5"/>
      <c r="C504" s="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5"/>
      <c r="C505" s="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5"/>
      <c r="C506" s="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5"/>
      <c r="C507" s="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5"/>
      <c r="C508" s="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5"/>
      <c r="C509" s="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5"/>
      <c r="C510" s="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5"/>
      <c r="C511" s="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5"/>
      <c r="C512" s="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5"/>
      <c r="C513" s="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5"/>
      <c r="C514" s="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5"/>
      <c r="C515" s="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5"/>
      <c r="C516" s="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5"/>
      <c r="C517" s="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5"/>
      <c r="C518" s="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5"/>
      <c r="C519" s="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5"/>
      <c r="C520" s="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5"/>
      <c r="C521" s="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5"/>
      <c r="C522" s="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5"/>
      <c r="C523" s="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5"/>
      <c r="C524" s="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5"/>
      <c r="C525" s="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5"/>
      <c r="C526" s="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5"/>
      <c r="C527" s="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5"/>
      <c r="C528" s="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5"/>
      <c r="C529" s="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5"/>
      <c r="C530" s="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5"/>
      <c r="C531" s="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5"/>
      <c r="C532" s="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5"/>
      <c r="C533" s="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5"/>
      <c r="C534" s="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5"/>
      <c r="C535" s="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5"/>
      <c r="C536" s="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5"/>
      <c r="C537" s="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5"/>
      <c r="C538" s="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5"/>
      <c r="C539" s="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5"/>
      <c r="C540" s="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5"/>
      <c r="C541" s="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5"/>
      <c r="C542" s="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5"/>
      <c r="C543" s="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5"/>
      <c r="C544" s="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5"/>
      <c r="C545" s="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5"/>
      <c r="C546" s="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5"/>
      <c r="C547" s="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5"/>
      <c r="C548" s="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5"/>
      <c r="C549" s="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5"/>
      <c r="C550" s="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5"/>
      <c r="C551" s="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5"/>
      <c r="C552" s="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5"/>
      <c r="C553" s="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5"/>
      <c r="C554" s="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5"/>
      <c r="C555" s="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5"/>
      <c r="C556" s="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5"/>
      <c r="C557" s="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5"/>
      <c r="C558" s="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5"/>
      <c r="C559" s="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5"/>
      <c r="C560" s="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5"/>
      <c r="C561" s="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5"/>
      <c r="C562" s="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5"/>
      <c r="C563" s="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5"/>
      <c r="C564" s="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5"/>
      <c r="C565" s="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5"/>
      <c r="C566" s="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5"/>
      <c r="C567" s="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5"/>
      <c r="C568" s="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5"/>
      <c r="C569" s="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5"/>
      <c r="C570" s="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5"/>
      <c r="C571" s="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5"/>
      <c r="C572" s="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5"/>
      <c r="C573" s="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5"/>
      <c r="C574" s="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5"/>
      <c r="C575" s="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5"/>
      <c r="C576" s="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5"/>
      <c r="C577" s="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5"/>
      <c r="C578" s="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5"/>
      <c r="C579" s="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5"/>
      <c r="C580" s="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5"/>
      <c r="C581" s="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5"/>
      <c r="C582" s="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5"/>
      <c r="C583" s="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5"/>
      <c r="C584" s="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5"/>
      <c r="C585" s="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5"/>
      <c r="C586" s="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5"/>
      <c r="C587" s="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5"/>
      <c r="C588" s="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5"/>
      <c r="C589" s="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5"/>
      <c r="C590" s="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5"/>
      <c r="C591" s="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5"/>
      <c r="C592" s="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5"/>
      <c r="C593" s="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5"/>
      <c r="C594" s="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5"/>
      <c r="C595" s="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5"/>
      <c r="C596" s="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5"/>
      <c r="C597" s="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5"/>
      <c r="C598" s="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5"/>
      <c r="C599" s="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5"/>
      <c r="C600" s="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5"/>
      <c r="C601" s="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5"/>
      <c r="C602" s="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5"/>
      <c r="C603" s="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5"/>
      <c r="C604" s="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5"/>
      <c r="C605" s="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5"/>
      <c r="C606" s="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5"/>
      <c r="C607" s="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5"/>
      <c r="C608" s="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5"/>
      <c r="C609" s="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5"/>
      <c r="C610" s="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5"/>
      <c r="C611" s="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5"/>
      <c r="C612" s="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5"/>
      <c r="C613" s="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5"/>
      <c r="C614" s="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5"/>
      <c r="C615" s="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5"/>
      <c r="C616" s="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5"/>
      <c r="C617" s="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5"/>
      <c r="C618" s="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5"/>
      <c r="C619" s="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5"/>
      <c r="C620" s="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5"/>
      <c r="C621" s="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5"/>
      <c r="C622" s="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5"/>
      <c r="C623" s="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5"/>
      <c r="C624" s="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5"/>
      <c r="C625" s="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5"/>
      <c r="C626" s="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5"/>
      <c r="C627" s="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5"/>
      <c r="C628" s="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5"/>
      <c r="C629" s="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5"/>
      <c r="C630" s="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5"/>
      <c r="C631" s="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5"/>
      <c r="C632" s="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5"/>
      <c r="C633" s="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5"/>
      <c r="C634" s="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5"/>
      <c r="C635" s="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5"/>
      <c r="C636" s="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5"/>
      <c r="C637" s="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5"/>
      <c r="C638" s="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5"/>
      <c r="C639" s="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5"/>
      <c r="C640" s="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5"/>
      <c r="C641" s="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5"/>
      <c r="C642" s="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5"/>
      <c r="C643" s="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5"/>
      <c r="C644" s="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5"/>
      <c r="C645" s="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5"/>
      <c r="C646" s="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5"/>
      <c r="C647" s="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5"/>
      <c r="C648" s="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5"/>
      <c r="C649" s="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5"/>
      <c r="C650" s="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5"/>
      <c r="C651" s="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5"/>
      <c r="C652" s="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5"/>
      <c r="C653" s="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5"/>
      <c r="C654" s="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5"/>
      <c r="C655" s="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5"/>
      <c r="C656" s="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5"/>
      <c r="C657" s="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5"/>
      <c r="C658" s="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5"/>
      <c r="C659" s="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5"/>
      <c r="C660" s="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5"/>
      <c r="C661" s="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5"/>
      <c r="C662" s="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5"/>
      <c r="C663" s="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5"/>
      <c r="C664" s="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5"/>
      <c r="C665" s="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5"/>
      <c r="C666" s="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5"/>
      <c r="C667" s="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5"/>
      <c r="C668" s="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5"/>
      <c r="C669" s="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5"/>
      <c r="C670" s="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5"/>
      <c r="C671" s="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5"/>
      <c r="C672" s="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5"/>
      <c r="C673" s="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5"/>
      <c r="C674" s="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5"/>
      <c r="C675" s="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5"/>
      <c r="C676" s="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5"/>
      <c r="C677" s="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5"/>
      <c r="C678" s="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5"/>
      <c r="C679" s="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5"/>
      <c r="C680" s="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5"/>
      <c r="C681" s="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5"/>
      <c r="C682" s="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5"/>
      <c r="C683" s="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5"/>
      <c r="C684" s="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5"/>
      <c r="C685" s="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5"/>
      <c r="C686" s="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5"/>
      <c r="C687" s="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5"/>
      <c r="C688" s="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5"/>
      <c r="C689" s="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5"/>
      <c r="C690" s="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5"/>
      <c r="C691" s="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5"/>
      <c r="C692" s="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5"/>
      <c r="C693" s="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5"/>
      <c r="C694" s="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5"/>
      <c r="C695" s="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5"/>
      <c r="C696" s="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5"/>
      <c r="C697" s="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5"/>
      <c r="C698" s="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5"/>
      <c r="C699" s="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5"/>
      <c r="C700" s="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5"/>
      <c r="C701" s="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5"/>
      <c r="C702" s="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5"/>
      <c r="C703" s="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5"/>
      <c r="C704" s="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5"/>
      <c r="C705" s="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5"/>
      <c r="C706" s="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5"/>
      <c r="C707" s="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5"/>
      <c r="C708" s="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5"/>
      <c r="C709" s="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5"/>
      <c r="C710" s="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5"/>
      <c r="C711" s="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5"/>
      <c r="C712" s="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5"/>
      <c r="C713" s="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5"/>
      <c r="C714" s="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5"/>
      <c r="C715" s="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5"/>
      <c r="C716" s="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5"/>
      <c r="C717" s="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5"/>
      <c r="C718" s="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5"/>
      <c r="C719" s="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5"/>
      <c r="C720" s="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5"/>
      <c r="C721" s="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5"/>
      <c r="C722" s="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5"/>
      <c r="C723" s="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5"/>
      <c r="C724" s="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5"/>
      <c r="C725" s="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5"/>
      <c r="C726" s="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5"/>
      <c r="C727" s="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5"/>
      <c r="C728" s="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5"/>
      <c r="C729" s="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5"/>
      <c r="C730" s="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5"/>
      <c r="C731" s="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5"/>
      <c r="C732" s="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5"/>
      <c r="C733" s="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5"/>
      <c r="C734" s="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5"/>
      <c r="C735" s="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5"/>
      <c r="C736" s="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5"/>
      <c r="C737" s="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5"/>
      <c r="C738" s="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5"/>
      <c r="C739" s="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5"/>
      <c r="C740" s="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5"/>
      <c r="C741" s="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5"/>
      <c r="C742" s="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5"/>
      <c r="C743" s="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5"/>
      <c r="C744" s="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5"/>
      <c r="C745" s="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5"/>
      <c r="C746" s="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5"/>
      <c r="C747" s="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5"/>
      <c r="C748" s="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5"/>
      <c r="C749" s="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5"/>
      <c r="C750" s="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5"/>
      <c r="C751" s="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5"/>
      <c r="C752" s="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5"/>
      <c r="C753" s="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5"/>
      <c r="C754" s="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5"/>
      <c r="C755" s="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5"/>
      <c r="C756" s="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5"/>
      <c r="C757" s="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5"/>
      <c r="C758" s="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5"/>
      <c r="C759" s="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5"/>
      <c r="C760" s="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5"/>
      <c r="C761" s="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5"/>
      <c r="C762" s="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5"/>
      <c r="C763" s="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5"/>
      <c r="C764" s="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5"/>
      <c r="C765" s="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5"/>
      <c r="C766" s="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5"/>
      <c r="C767" s="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5"/>
      <c r="C768" s="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5"/>
      <c r="C769" s="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5"/>
      <c r="C770" s="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5"/>
      <c r="C771" s="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5"/>
      <c r="C772" s="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5"/>
      <c r="C773" s="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5"/>
      <c r="C774" s="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5"/>
      <c r="C775" s="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5"/>
      <c r="C776" s="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5"/>
      <c r="C777" s="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5"/>
      <c r="C778" s="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5"/>
      <c r="C779" s="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5"/>
      <c r="C780" s="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5"/>
      <c r="C781" s="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5"/>
      <c r="C782" s="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5"/>
      <c r="C783" s="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5"/>
      <c r="C784" s="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5"/>
      <c r="C785" s="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5"/>
      <c r="C786" s="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5"/>
      <c r="C787" s="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5"/>
      <c r="C788" s="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5"/>
      <c r="C789" s="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5"/>
      <c r="C790" s="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5"/>
      <c r="C791" s="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5"/>
      <c r="C792" s="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5"/>
      <c r="C793" s="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5"/>
      <c r="C794" s="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5"/>
      <c r="C795" s="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5"/>
      <c r="C796" s="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5"/>
      <c r="C797" s="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5"/>
      <c r="C798" s="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5"/>
      <c r="C799" s="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5"/>
      <c r="C800" s="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5"/>
      <c r="C801" s="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5"/>
      <c r="C802" s="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5"/>
      <c r="C803" s="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5"/>
      <c r="C804" s="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5"/>
      <c r="C805" s="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5"/>
      <c r="C806" s="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5"/>
      <c r="C807" s="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5"/>
      <c r="C808" s="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5"/>
      <c r="C809" s="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5"/>
      <c r="C810" s="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5"/>
      <c r="C811" s="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5"/>
      <c r="C812" s="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5"/>
      <c r="C813" s="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5"/>
      <c r="C814" s="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5"/>
      <c r="C815" s="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5"/>
      <c r="C816" s="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5"/>
      <c r="C817" s="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5"/>
      <c r="C818" s="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5"/>
      <c r="C819" s="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5"/>
      <c r="C820" s="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5"/>
      <c r="C821" s="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5"/>
      <c r="C822" s="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5"/>
      <c r="C823" s="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5"/>
      <c r="C824" s="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5"/>
      <c r="C825" s="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5"/>
      <c r="C826" s="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5"/>
      <c r="C827" s="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5"/>
      <c r="C828" s="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5"/>
      <c r="C829" s="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5"/>
      <c r="C830" s="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5"/>
      <c r="C831" s="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5"/>
      <c r="C832" s="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5"/>
      <c r="C833" s="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5"/>
      <c r="C834" s="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5"/>
      <c r="C835" s="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5"/>
      <c r="C836" s="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5"/>
      <c r="C837" s="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5"/>
      <c r="C838" s="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5"/>
      <c r="C839" s="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5"/>
      <c r="C840" s="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5"/>
      <c r="C841" s="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5"/>
      <c r="C842" s="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5"/>
      <c r="C843" s="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5"/>
      <c r="C844" s="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5"/>
      <c r="C845" s="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5"/>
      <c r="C846" s="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5"/>
      <c r="C847" s="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5"/>
      <c r="C848" s="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5"/>
      <c r="C849" s="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5"/>
      <c r="C850" s="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5"/>
      <c r="C851" s="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5"/>
      <c r="C852" s="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5"/>
      <c r="C853" s="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5"/>
      <c r="C854" s="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5"/>
      <c r="C855" s="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5"/>
      <c r="C856" s="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5"/>
      <c r="C857" s="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5"/>
      <c r="C858" s="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5"/>
      <c r="C859" s="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5"/>
      <c r="C860" s="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5"/>
      <c r="C861" s="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5"/>
      <c r="C862" s="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5"/>
      <c r="C863" s="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5"/>
      <c r="C864" s="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5"/>
      <c r="C865" s="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5"/>
      <c r="C866" s="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5"/>
      <c r="C867" s="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5"/>
      <c r="C868" s="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5"/>
      <c r="C869" s="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5"/>
      <c r="C870" s="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5"/>
      <c r="C871" s="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5"/>
      <c r="C872" s="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5"/>
      <c r="C873" s="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5"/>
      <c r="C874" s="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5"/>
      <c r="C875" s="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5"/>
      <c r="C876" s="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5"/>
      <c r="C877" s="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5"/>
      <c r="C878" s="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5"/>
      <c r="C879" s="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5"/>
      <c r="C880" s="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5"/>
      <c r="C881" s="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5"/>
      <c r="C882" s="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5"/>
      <c r="C883" s="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5"/>
      <c r="C884" s="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5"/>
      <c r="C885" s="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5"/>
      <c r="C886" s="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5"/>
      <c r="C887" s="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5"/>
      <c r="C888" s="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5"/>
      <c r="C889" s="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5"/>
      <c r="C890" s="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5"/>
      <c r="C891" s="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5"/>
      <c r="C892" s="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5"/>
      <c r="C893" s="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5"/>
      <c r="C894" s="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5"/>
      <c r="C895" s="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5"/>
      <c r="C896" s="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5"/>
      <c r="C897" s="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5"/>
      <c r="C898" s="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5"/>
      <c r="C899" s="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5"/>
      <c r="C900" s="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5"/>
      <c r="C901" s="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5"/>
      <c r="C902" s="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5"/>
      <c r="C903" s="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5"/>
      <c r="C904" s="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5"/>
      <c r="C905" s="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5"/>
      <c r="C906" s="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5"/>
      <c r="C907" s="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5"/>
      <c r="C908" s="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5"/>
      <c r="C909" s="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5"/>
      <c r="C910" s="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5"/>
      <c r="C911" s="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5"/>
      <c r="C912" s="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5"/>
      <c r="C913" s="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5"/>
      <c r="C914" s="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5"/>
      <c r="C915" s="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5"/>
      <c r="C916" s="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5"/>
      <c r="C917" s="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5"/>
      <c r="C918" s="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5"/>
      <c r="C919" s="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5"/>
      <c r="C920" s="6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5"/>
      <c r="C921" s="6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5"/>
      <c r="C922" s="6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5"/>
      <c r="C923" s="6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5"/>
      <c r="C924" s="6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5"/>
      <c r="C925" s="6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5"/>
      <c r="C926" s="6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5"/>
      <c r="C927" s="6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5"/>
      <c r="C928" s="6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5"/>
      <c r="C929" s="6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5"/>
      <c r="C930" s="6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5"/>
      <c r="C931" s="6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5"/>
      <c r="C932" s="6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5"/>
      <c r="C933" s="6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5"/>
      <c r="C934" s="6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5"/>
      <c r="C935" s="6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5"/>
      <c r="C936" s="6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5"/>
      <c r="C937" s="6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5"/>
      <c r="C938" s="6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5"/>
      <c r="C939" s="6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5"/>
      <c r="C940" s="6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5"/>
      <c r="C941" s="6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5"/>
      <c r="C942" s="6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5"/>
      <c r="C943" s="6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5"/>
      <c r="C944" s="6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5"/>
      <c r="C945" s="6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5"/>
      <c r="C946" s="6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5"/>
      <c r="C947" s="6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5"/>
      <c r="C948" s="6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5"/>
      <c r="C949" s="6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5"/>
      <c r="C950" s="6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5"/>
      <c r="C951" s="6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5"/>
      <c r="C952" s="6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5"/>
      <c r="C953" s="6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5"/>
      <c r="C954" s="6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5"/>
      <c r="C955" s="6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5"/>
      <c r="C956" s="6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5"/>
      <c r="C957" s="6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5"/>
      <c r="C958" s="6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5"/>
      <c r="C959" s="6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5"/>
      <c r="C960" s="6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5"/>
      <c r="C961" s="6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5"/>
      <c r="C962" s="6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5"/>
      <c r="C963" s="6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5"/>
      <c r="C964" s="6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5"/>
      <c r="C965" s="6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5"/>
      <c r="C966" s="6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5"/>
      <c r="C967" s="6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5"/>
      <c r="C968" s="6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5"/>
      <c r="C969" s="6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5"/>
      <c r="C970" s="6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5"/>
      <c r="C971" s="6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5"/>
      <c r="C972" s="6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5"/>
      <c r="C973" s="6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5"/>
      <c r="C974" s="6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5"/>
      <c r="C975" s="6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5"/>
      <c r="C976" s="6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5"/>
      <c r="C977" s="6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5"/>
      <c r="C978" s="6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5"/>
      <c r="C979" s="6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5"/>
      <c r="C980" s="6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5"/>
      <c r="C981" s="6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5"/>
      <c r="C982" s="6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5"/>
      <c r="C983" s="6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5"/>
      <c r="C984" s="6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5"/>
      <c r="C985" s="6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5"/>
      <c r="C986" s="6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5"/>
      <c r="C987" s="6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5"/>
      <c r="C988" s="6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5"/>
      <c r="C989" s="6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5"/>
      <c r="C990" s="6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5"/>
      <c r="C991" s="6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5"/>
      <c r="C992" s="6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5"/>
      <c r="C993" s="6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5"/>
      <c r="C994" s="6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5"/>
      <c r="C995" s="6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5"/>
      <c r="C996" s="6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5"/>
      <c r="C997" s="6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6">
    <mergeCell ref="B14:B16"/>
    <mergeCell ref="B1:C1"/>
    <mergeCell ref="B2:B4"/>
    <mergeCell ref="B5:B7"/>
    <mergeCell ref="B8:B10"/>
    <mergeCell ref="B11:B13"/>
  </mergeCells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6CF6-8D6E-42BB-94D4-00A10C977CDE}">
  <dimension ref="A3:B8"/>
  <sheetViews>
    <sheetView workbookViewId="0"/>
  </sheetViews>
  <sheetFormatPr defaultRowHeight="14.4"/>
  <cols>
    <col min="1" max="1" width="12.5546875" bestFit="1" customWidth="1"/>
    <col min="2" max="2" width="22.88671875" bestFit="1" customWidth="1"/>
  </cols>
  <sheetData>
    <row r="3" spans="1:2">
      <c r="A3" s="54" t="s">
        <v>96</v>
      </c>
      <c r="B3" t="s">
        <v>98</v>
      </c>
    </row>
    <row r="4" spans="1:2">
      <c r="A4" s="55" t="s">
        <v>62</v>
      </c>
      <c r="B4" s="56">
        <v>1</v>
      </c>
    </row>
    <row r="5" spans="1:2">
      <c r="A5" s="55" t="s">
        <v>54</v>
      </c>
      <c r="B5" s="56">
        <v>2</v>
      </c>
    </row>
    <row r="6" spans="1:2">
      <c r="A6" s="55" t="s">
        <v>49</v>
      </c>
      <c r="B6" s="56">
        <v>2</v>
      </c>
    </row>
    <row r="7" spans="1:2">
      <c r="A7" s="55" t="s">
        <v>45</v>
      </c>
      <c r="B7" s="56">
        <v>3</v>
      </c>
    </row>
    <row r="8" spans="1:2">
      <c r="A8" s="55" t="s">
        <v>97</v>
      </c>
      <c r="B8" s="56">
        <v>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topLeftCell="B1" workbookViewId="0">
      <selection activeCell="I41" sqref="I41"/>
    </sheetView>
  </sheetViews>
  <sheetFormatPr defaultColWidth="14.44140625" defaultRowHeight="15" customHeight="1"/>
  <cols>
    <col min="1" max="1" width="15.109375" customWidth="1"/>
    <col min="2" max="2" width="13" customWidth="1"/>
    <col min="3" max="3" width="8.6640625" customWidth="1"/>
    <col min="4" max="4" width="15.109375" customWidth="1"/>
    <col min="5" max="5" width="11" customWidth="1"/>
    <col min="6" max="6" width="17.33203125" bestFit="1" customWidth="1"/>
    <col min="7" max="7" width="28.6640625" customWidth="1"/>
    <col min="8" max="8" width="13.33203125" bestFit="1" customWidth="1"/>
    <col min="9" max="9" width="10.88671875" bestFit="1" customWidth="1"/>
    <col min="10" max="15" width="8.6640625" customWidth="1"/>
    <col min="16" max="16" width="17.88671875" customWidth="1"/>
    <col min="17" max="26" width="8.6640625" customWidth="1"/>
  </cols>
  <sheetData>
    <row r="1" spans="1:16" thickBot="1">
      <c r="A1" s="30" t="s">
        <v>37</v>
      </c>
      <c r="B1" s="31"/>
      <c r="C1" s="7"/>
      <c r="D1" s="30" t="s">
        <v>38</v>
      </c>
      <c r="E1" s="31"/>
      <c r="G1" s="8" t="s">
        <v>39</v>
      </c>
    </row>
    <row r="2" spans="1:16" thickBot="1">
      <c r="A2" s="9" t="s">
        <v>40</v>
      </c>
      <c r="B2" s="9" t="s">
        <v>41</v>
      </c>
      <c r="D2" s="9" t="s">
        <v>40</v>
      </c>
      <c r="E2" s="9" t="s">
        <v>42</v>
      </c>
      <c r="G2" s="9" t="s">
        <v>43</v>
      </c>
      <c r="I2" s="25" t="s">
        <v>4</v>
      </c>
      <c r="J2" s="26"/>
      <c r="K2" s="26"/>
      <c r="L2" s="26"/>
      <c r="M2" s="26"/>
      <c r="N2" s="26"/>
      <c r="O2" s="26"/>
      <c r="P2" s="11" t="str" cm="1">
        <f t="array" ref="P2:P6">_xlfn._xlws.FILTER(Dataset!A3:A10,COUNTIF(Dataset!D3:D9,Dataset!A3:A10)&gt;0)</f>
        <v>John Smith</v>
      </c>
    </row>
    <row r="3" spans="1:16" ht="14.4">
      <c r="A3" s="10" t="s">
        <v>44</v>
      </c>
      <c r="B3" s="10" t="s">
        <v>45</v>
      </c>
      <c r="D3" s="10" t="s">
        <v>44</v>
      </c>
      <c r="E3" s="10" t="s">
        <v>46</v>
      </c>
      <c r="G3" s="10" t="s">
        <v>47</v>
      </c>
      <c r="P3" s="12" t="str">
        <v>Sarah Johnson</v>
      </c>
    </row>
    <row r="4" spans="1:16" ht="14.4">
      <c r="A4" s="10" t="s">
        <v>48</v>
      </c>
      <c r="B4" s="10" t="s">
        <v>49</v>
      </c>
      <c r="D4" s="10" t="s">
        <v>50</v>
      </c>
      <c r="E4" s="10" t="s">
        <v>51</v>
      </c>
      <c r="G4" s="10" t="s">
        <v>52</v>
      </c>
      <c r="P4" s="12" t="str">
        <v>Michael Brown</v>
      </c>
    </row>
    <row r="5" spans="1:16" ht="14.4">
      <c r="A5" s="10" t="s">
        <v>53</v>
      </c>
      <c r="B5" s="10" t="s">
        <v>54</v>
      </c>
      <c r="D5" s="10" t="s">
        <v>53</v>
      </c>
      <c r="E5" s="10" t="s">
        <v>46</v>
      </c>
      <c r="G5" s="10" t="s">
        <v>55</v>
      </c>
      <c r="P5" s="12" t="str">
        <v>Emma Davis</v>
      </c>
    </row>
    <row r="6" spans="1:16" thickBot="1">
      <c r="A6" s="10" t="s">
        <v>50</v>
      </c>
      <c r="B6" s="10" t="s">
        <v>45</v>
      </c>
      <c r="D6" s="10" t="s">
        <v>56</v>
      </c>
      <c r="E6" s="10" t="s">
        <v>57</v>
      </c>
      <c r="G6" s="10" t="s">
        <v>58</v>
      </c>
      <c r="P6" s="13" t="str">
        <v>Lisa Anderson</v>
      </c>
    </row>
    <row r="7" spans="1:16" thickBot="1">
      <c r="A7" s="10" t="s">
        <v>59</v>
      </c>
      <c r="B7" s="10" t="s">
        <v>49</v>
      </c>
      <c r="D7" s="10" t="s">
        <v>60</v>
      </c>
      <c r="E7" s="10" t="s">
        <v>51</v>
      </c>
      <c r="G7" s="10" t="s">
        <v>61</v>
      </c>
    </row>
    <row r="8" spans="1:16" thickBot="1">
      <c r="A8" s="10" t="s">
        <v>60</v>
      </c>
      <c r="B8" s="10" t="s">
        <v>62</v>
      </c>
      <c r="D8" s="10" t="s">
        <v>48</v>
      </c>
      <c r="E8" s="10" t="s">
        <v>57</v>
      </c>
      <c r="G8" s="10" t="s">
        <v>63</v>
      </c>
      <c r="I8" s="25" t="s">
        <v>6</v>
      </c>
      <c r="J8" s="26"/>
      <c r="K8" s="26"/>
      <c r="L8" s="26"/>
      <c r="M8" s="26"/>
      <c r="N8" s="26"/>
      <c r="O8" s="26"/>
      <c r="P8" s="11" t="str" cm="1">
        <f t="array" ref="P8:P10">_xlfn._xlws.FILTER(A3:A10,COUNTIF(D3:D9,A3:A10)=0)</f>
        <v>James Wilson</v>
      </c>
    </row>
    <row r="9" spans="1:16" ht="14.4">
      <c r="A9" s="10" t="s">
        <v>64</v>
      </c>
      <c r="B9" s="10" t="s">
        <v>54</v>
      </c>
      <c r="D9" s="10" t="s">
        <v>65</v>
      </c>
      <c r="E9" s="10" t="s">
        <v>46</v>
      </c>
      <c r="G9" s="10" t="s">
        <v>66</v>
      </c>
      <c r="P9" s="12" t="str">
        <v>David Miller</v>
      </c>
    </row>
    <row r="10" spans="1:16" thickBot="1">
      <c r="A10" s="10" t="s">
        <v>67</v>
      </c>
      <c r="B10" s="10" t="s">
        <v>45</v>
      </c>
      <c r="G10" s="10" t="s">
        <v>68</v>
      </c>
      <c r="P10" s="13" t="str">
        <v>Jennifer White</v>
      </c>
    </row>
    <row r="12" spans="1:16" ht="15" customHeight="1" thickBot="1"/>
    <row r="13" spans="1:16" ht="15" customHeight="1" thickBot="1">
      <c r="F13" s="23" t="s">
        <v>71</v>
      </c>
      <c r="G13" s="19"/>
      <c r="I13" s="25" t="s">
        <v>8</v>
      </c>
      <c r="J13" s="26"/>
      <c r="K13" s="26"/>
      <c r="L13" s="26"/>
      <c r="M13" s="26"/>
      <c r="N13" s="26"/>
      <c r="O13" s="26"/>
      <c r="P13" s="14" t="s">
        <v>44</v>
      </c>
    </row>
    <row r="14" spans="1:16" ht="15" customHeight="1" thickBot="1">
      <c r="A14" s="25" t="s">
        <v>11</v>
      </c>
      <c r="B14" s="26"/>
      <c r="C14" s="26"/>
      <c r="D14" s="26"/>
      <c r="E14" s="20" t="s">
        <v>69</v>
      </c>
      <c r="F14" s="12">
        <f>COUNTIF(B3:B10,"Sales")</f>
        <v>3</v>
      </c>
      <c r="P14" s="15" t="s">
        <v>48</v>
      </c>
    </row>
    <row r="15" spans="1:16" ht="15" customHeight="1">
      <c r="E15" s="21" t="s">
        <v>70</v>
      </c>
      <c r="F15" s="12">
        <f>COUNTIF(B4:B11,"Marketing")</f>
        <v>2</v>
      </c>
      <c r="P15" s="15" t="s">
        <v>53</v>
      </c>
    </row>
    <row r="16" spans="1:16" ht="15" customHeight="1">
      <c r="E16" s="21" t="s">
        <v>54</v>
      </c>
      <c r="F16" s="12">
        <f>COUNTIF(B5:B12,"IT")</f>
        <v>2</v>
      </c>
      <c r="P16" s="15" t="s">
        <v>50</v>
      </c>
    </row>
    <row r="17" spans="1:16" ht="15" customHeight="1" thickBot="1">
      <c r="E17" s="22" t="s">
        <v>62</v>
      </c>
      <c r="F17" s="13">
        <f>COUNTIF(B6:B13,"HR")</f>
        <v>1</v>
      </c>
      <c r="P17" s="15" t="s">
        <v>59</v>
      </c>
    </row>
    <row r="18" spans="1:16" ht="15" customHeight="1" thickBot="1">
      <c r="P18" s="15" t="s">
        <v>60</v>
      </c>
    </row>
    <row r="19" spans="1:16" ht="15" customHeight="1" thickBot="1">
      <c r="A19" s="25" t="s">
        <v>13</v>
      </c>
      <c r="B19" s="26"/>
      <c r="C19" s="26"/>
      <c r="D19" s="27"/>
      <c r="E19" s="24" t="str" cm="1">
        <f t="array" ref="E19">INDEX(E3:E9,(MODE(MATCH(Dataset!E3:E9,Dataset!E3:E9,0))))</f>
        <v>Project A</v>
      </c>
      <c r="P19" s="15" t="s">
        <v>64</v>
      </c>
    </row>
    <row r="20" spans="1:16" ht="15" customHeight="1">
      <c r="P20" s="16" t="s">
        <v>67</v>
      </c>
    </row>
    <row r="21" spans="1:16" ht="15.75" customHeight="1" thickBot="1">
      <c r="P21" s="17" t="str" cm="1">
        <f t="array" ref="P21:P22">_xlfn._xlws.FILTER(D3:D9,COUNTIF(A3:A10,D3:D9)=0)</f>
        <v>Chris Taylor</v>
      </c>
    </row>
    <row r="22" spans="1:16" ht="15.75" customHeight="1" thickBot="1">
      <c r="A22" s="25" t="s">
        <v>15</v>
      </c>
      <c r="B22" s="26"/>
      <c r="C22" s="26"/>
      <c r="D22" s="27"/>
      <c r="E22" s="28" t="s">
        <v>72</v>
      </c>
      <c r="F22" s="29"/>
      <c r="P22" s="18" t="str">
        <v>Tom Wilson</v>
      </c>
    </row>
    <row r="23" spans="1:16" ht="15.75" customHeight="1" thickBot="1"/>
    <row r="24" spans="1:16" ht="15.75" customHeight="1" thickBot="1">
      <c r="A24" s="36" t="s">
        <v>18</v>
      </c>
      <c r="B24" s="37"/>
      <c r="C24" s="37"/>
      <c r="D24" s="37"/>
      <c r="E24" s="37"/>
      <c r="F24" s="44" t="s">
        <v>73</v>
      </c>
      <c r="G24" s="38" t="s">
        <v>74</v>
      </c>
      <c r="H24" s="39" t="s">
        <v>75</v>
      </c>
      <c r="I24" s="11" t="str">
        <f>LEFT(F24,1)&amp;LEFT(G24,1)&amp;LEFT(H24,1)</f>
        <v>IBM</v>
      </c>
    </row>
    <row r="25" spans="1:16" ht="15.75" customHeight="1">
      <c r="F25" s="45" t="s">
        <v>76</v>
      </c>
      <c r="G25" s="40" t="s">
        <v>77</v>
      </c>
      <c r="H25" s="41"/>
      <c r="I25" s="12" t="str">
        <f>LEFT(F25,1)&amp;LEFT(G25,1)&amp;LEFT(H25,1)</f>
        <v>MC</v>
      </c>
    </row>
    <row r="26" spans="1:16" ht="15.75" customHeight="1">
      <c r="F26" s="45" t="s">
        <v>78</v>
      </c>
      <c r="G26" s="40" t="s">
        <v>79</v>
      </c>
      <c r="H26" s="41" t="s">
        <v>80</v>
      </c>
      <c r="I26" s="12" t="str">
        <f>LEFT(F26,1)&amp;LEFT(G26,1)&amp;LEFT(H26,1)</f>
        <v>ACI</v>
      </c>
    </row>
    <row r="27" spans="1:16" ht="15.75" customHeight="1">
      <c r="F27" s="45" t="s">
        <v>81</v>
      </c>
      <c r="G27" s="40" t="s">
        <v>82</v>
      </c>
      <c r="H27" s="41" t="s">
        <v>80</v>
      </c>
      <c r="I27" s="12" t="str">
        <f>LEFT(F27,1)&amp;LEFT(G27,1)&amp;LEFT(H27,1)</f>
        <v>MPI</v>
      </c>
    </row>
    <row r="28" spans="1:16" ht="15.75" customHeight="1">
      <c r="F28" s="45" t="s">
        <v>83</v>
      </c>
      <c r="G28" s="40" t="s">
        <v>84</v>
      </c>
      <c r="H28" s="41"/>
      <c r="I28" s="12" t="str">
        <f>LEFT(F28,1)&amp;LEFT(G28,1)&amp;LEFT(H28,1)</f>
        <v>AT</v>
      </c>
    </row>
    <row r="29" spans="1:16" ht="15.75" customHeight="1">
      <c r="F29" s="45" t="s">
        <v>85</v>
      </c>
      <c r="G29" s="40" t="s">
        <v>86</v>
      </c>
      <c r="H29" s="41" t="s">
        <v>87</v>
      </c>
      <c r="I29" s="12" t="str">
        <f>LEFT(F29,1)&amp;LEFT(G29,1)&amp;LEFT(H29,1)</f>
        <v>AWS</v>
      </c>
    </row>
    <row r="30" spans="1:16" ht="15.75" customHeight="1">
      <c r="F30" s="45" t="s">
        <v>88</v>
      </c>
      <c r="G30" s="40" t="s">
        <v>89</v>
      </c>
      <c r="H30" s="41" t="s">
        <v>77</v>
      </c>
      <c r="I30" s="12" t="str">
        <f>LEFT(F30,1)&amp;LEFT(G30,1)&amp;LEFT(H30,1)</f>
        <v>TMC</v>
      </c>
    </row>
    <row r="31" spans="1:16" ht="15.75" customHeight="1" thickBot="1">
      <c r="F31" s="46" t="s">
        <v>90</v>
      </c>
      <c r="G31" s="42" t="s">
        <v>91</v>
      </c>
      <c r="H31" s="43"/>
      <c r="I31" s="13" t="str">
        <f>LEFT(F31,1)&amp;LEFT(G31,1)&amp;LEFT(H31,1)</f>
        <v>NE</v>
      </c>
    </row>
    <row r="32" spans="1:16" ht="15.75" customHeight="1" thickBot="1"/>
    <row r="33" spans="1:8" ht="15.75" customHeight="1" thickBot="1">
      <c r="A33" s="25" t="s">
        <v>25</v>
      </c>
      <c r="B33" s="26"/>
      <c r="C33" s="26"/>
      <c r="D33" s="26"/>
      <c r="E33" s="26"/>
      <c r="F33" s="47" t="s">
        <v>92</v>
      </c>
      <c r="G33" s="48" t="s">
        <v>93</v>
      </c>
    </row>
    <row r="34" spans="1:8" ht="15.75" customHeight="1" thickBot="1">
      <c r="F34" s="49" t="s">
        <v>94</v>
      </c>
      <c r="G34" s="43" t="str">
        <f>VLOOKUP(F34,D1:E9,2,FALSE)</f>
        <v>Project A</v>
      </c>
    </row>
    <row r="35" spans="1:8" ht="15.75" customHeight="1" thickBot="1"/>
    <row r="36" spans="1:8" ht="15.75" customHeight="1" thickBot="1">
      <c r="A36" s="25" t="s">
        <v>27</v>
      </c>
      <c r="B36" s="26"/>
      <c r="C36" s="26"/>
      <c r="D36" s="26"/>
      <c r="E36" s="27"/>
      <c r="G36" s="53" t="s">
        <v>95</v>
      </c>
    </row>
    <row r="37" spans="1:8" ht="15.75" customHeight="1">
      <c r="F37" s="50" t="s">
        <v>46</v>
      </c>
      <c r="G37" s="12">
        <f>COUNTIF(E3:E9,"Project A")</f>
        <v>3</v>
      </c>
    </row>
    <row r="38" spans="1:8" ht="15.75" customHeight="1">
      <c r="F38" s="51" t="s">
        <v>51</v>
      </c>
      <c r="G38" s="12">
        <f>COUNTIF(E3:E9,"Project B")</f>
        <v>2</v>
      </c>
    </row>
    <row r="39" spans="1:8" ht="15.75" customHeight="1" thickBot="1">
      <c r="F39" s="52" t="s">
        <v>57</v>
      </c>
      <c r="G39" s="13">
        <f>COUNTIF(E3:E9,"Project C")</f>
        <v>2</v>
      </c>
    </row>
    <row r="40" spans="1:8" ht="15.75" customHeight="1" thickBot="1"/>
    <row r="41" spans="1:8" ht="15.75" customHeight="1" thickBot="1">
      <c r="A41" s="25" t="s">
        <v>29</v>
      </c>
      <c r="B41" s="26"/>
      <c r="C41" s="26"/>
      <c r="D41" s="26"/>
      <c r="E41" s="27"/>
      <c r="F41" s="57" t="str">
        <f>HYPERLINK("#Distribution!A1","CLICK HERE")</f>
        <v>CLICK HERE</v>
      </c>
    </row>
    <row r="42" spans="1:8" ht="15.75" customHeight="1"/>
    <row r="43" spans="1:8" ht="15.75" customHeight="1" thickBot="1"/>
    <row r="44" spans="1:8" ht="15.75" customHeight="1" thickBot="1">
      <c r="A44" s="25" t="s">
        <v>32</v>
      </c>
      <c r="B44" s="26"/>
      <c r="C44" s="26"/>
      <c r="D44" s="26"/>
      <c r="E44" s="26"/>
      <c r="F44" s="47" t="s">
        <v>99</v>
      </c>
      <c r="G44" s="58" t="s">
        <v>100</v>
      </c>
      <c r="H44" s="48" t="s">
        <v>101</v>
      </c>
    </row>
    <row r="45" spans="1:8" ht="15.75" customHeight="1" thickBot="1">
      <c r="F45" s="59" t="str">
        <f>LEFT(G3,FIND(" ",G3))</f>
        <v xml:space="preserve">International </v>
      </c>
      <c r="G45" s="42" t="str">
        <f>MID(G3,FIND(" ",G3),9)</f>
        <v xml:space="preserve"> Business</v>
      </c>
      <c r="H45" s="43" t="str">
        <f>RIGHT(G45,3)</f>
        <v>ess</v>
      </c>
    </row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3:E33"/>
    <mergeCell ref="A36:E36"/>
    <mergeCell ref="A41:E41"/>
    <mergeCell ref="A44:E44"/>
    <mergeCell ref="A1:B1"/>
    <mergeCell ref="D1:E1"/>
    <mergeCell ref="I2:O2"/>
    <mergeCell ref="I8:O8"/>
    <mergeCell ref="A24:E24"/>
    <mergeCell ref="I13:O13"/>
    <mergeCell ref="A14:D14"/>
    <mergeCell ref="A19:D19"/>
    <mergeCell ref="A22:D22"/>
    <mergeCell ref="E22:F22"/>
  </mergeCells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Distribution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Bhesania</cp:lastModifiedBy>
  <dcterms:modified xsi:type="dcterms:W3CDTF">2026-04-23T15:52:14Z</dcterms:modified>
</cp:coreProperties>
</file>